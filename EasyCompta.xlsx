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nisseurs_DB" sheetId="1" state="visible" r:id="rId1"/>
    <sheet name="Clients_DB" sheetId="2" state="visible" r:id="rId2"/>
    <sheet name="PDF_Import" sheetId="3" state="visible" r:id="rId3"/>
    <sheet name="Pivot_Analytics" sheetId="4" state="visible" r:id="rId4"/>
    <sheet name="TVA_Mensuelle" sheetId="5" state="visible" r:id="rId5"/>
    <sheet name="Guide_Utilisate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"/>
    <numFmt numFmtId="166" formatCode="DD/MM/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70C0"/>
      <sz val="10"/>
    </font>
    <font>
      <name val="Calibri"/>
      <i val="1"/>
      <color rgb="00AAAAAA"/>
      <sz val="9"/>
    </font>
    <font>
      <name val="Calibri"/>
      <color rgb="00000000"/>
      <sz val="10"/>
    </font>
    <font>
      <name val="Calibri"/>
      <i val="1"/>
      <color rgb="00888888"/>
      <sz val="9"/>
    </font>
    <font>
      <name val="Calibri"/>
      <b val="1"/>
      <color rgb="00FFFFFF"/>
      <sz val="11"/>
    </font>
    <font>
      <name val="Calibri"/>
      <i val="1"/>
      <color rgb="00666666"/>
      <sz val="10"/>
    </font>
    <font>
      <name val="Calibri"/>
      <b val="1"/>
      <color rgb="00000000"/>
      <sz val="11"/>
    </font>
    <font>
      <name val="Calibri"/>
      <b val="1"/>
      <color rgb="001F4E79"/>
      <sz val="14"/>
    </font>
    <font>
      <name val="Calibri"/>
      <b val="1"/>
      <color rgb="00000000"/>
      <sz val="12"/>
    </font>
    <font>
      <name val="Calibri"/>
      <b val="1"/>
      <color rgb="001F4E79"/>
      <sz val="16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366092"/>
        <bgColor rgb="00366092"/>
      </patternFill>
    </fill>
    <fill>
      <patternFill patternType="solid">
        <fgColor rgb="00EBF3FB"/>
        <bgColor rgb="00EBF3FB"/>
      </patternFill>
    </fill>
    <fill>
      <patternFill patternType="solid">
        <fgColor rgb="007030A0"/>
        <bgColor rgb="007030A0"/>
      </patternFill>
    </fill>
    <fill>
      <patternFill patternType="solid">
        <fgColor rgb="00C55A11"/>
        <bgColor rgb="00C55A11"/>
      </patternFill>
    </fill>
    <fill>
      <patternFill patternType="solid">
        <fgColor rgb="00C00000"/>
        <bgColor rgb="00C00000"/>
      </patternFill>
    </fill>
  </fills>
  <borders count="10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double">
        <color rgb="001F4E79"/>
      </left>
      <right style="double">
        <color rgb="001F4E79"/>
      </right>
      <top style="double">
        <color rgb="001F4E79"/>
      </top>
      <bottom style="double">
        <color rgb="001F4E7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right" vertical="center"/>
    </xf>
    <xf numFmtId="0" fontId="5" fillId="4" borderId="6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center" vertical="center"/>
    </xf>
    <xf numFmtId="0" fontId="7" fillId="4" borderId="6" applyAlignment="1" pivotButton="0" quotePrefix="0" xfId="0">
      <alignment horizontal="left" vertical="center" indent="1"/>
    </xf>
    <xf numFmtId="166" fontId="7" fillId="4" borderId="6" applyAlignment="1" pivotButton="0" quotePrefix="0" xfId="0">
      <alignment horizontal="left" vertical="center" indent="1"/>
    </xf>
    <xf numFmtId="4" fontId="7" fillId="4" borderId="6" applyAlignment="1" pivotButton="0" quotePrefix="0" xfId="0">
      <alignment horizontal="left" vertical="center" indent="1"/>
    </xf>
    <xf numFmtId="165" fontId="7" fillId="4" borderId="6" applyAlignment="1" pivotButton="0" quotePrefix="0" xfId="0">
      <alignment horizontal="left" vertical="center" indent="1"/>
    </xf>
    <xf numFmtId="0" fontId="8" fillId="0" borderId="0" pivotButton="0" quotePrefix="0" xfId="0"/>
    <xf numFmtId="0" fontId="9" fillId="3" borderId="1" applyAlignment="1" pivotButton="0" quotePrefix="0" xfId="0">
      <alignment horizontal="left" vertical="center" wrapText="1" indent="1"/>
    </xf>
    <xf numFmtId="0" fontId="10" fillId="4" borderId="7" applyAlignment="1" pivotButton="0" quotePrefix="0" xfId="0">
      <alignment horizontal="left" vertical="top" wrapText="1" indent="1"/>
    </xf>
    <xf numFmtId="0" fontId="11" fillId="0" borderId="0" applyAlignment="1" pivotButton="0" quotePrefix="0" xfId="0">
      <alignment horizontal="right" vertical="center"/>
    </xf>
    <xf numFmtId="0" fontId="12" fillId="0" borderId="8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indent="1"/>
    </xf>
    <xf numFmtId="164" fontId="0" fillId="0" borderId="9" applyAlignment="1" pivotButton="0" quotePrefix="0" xfId="0">
      <alignment horizontal="right" vertical="center"/>
    </xf>
    <xf numFmtId="0" fontId="4" fillId="6" borderId="9" applyAlignment="1" pivotButton="0" quotePrefix="0" xfId="0">
      <alignment horizontal="left" vertical="center" indent="1"/>
    </xf>
    <xf numFmtId="164" fontId="0" fillId="6" borderId="9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0" borderId="8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" fontId="0" fillId="6" borderId="9" applyAlignment="1" pivotButton="0" quotePrefix="0" xfId="0">
      <alignment horizontal="center" vertical="center"/>
    </xf>
    <xf numFmtId="164" fontId="0" fillId="6" borderId="9" applyAlignment="1" pivotButton="0" quotePrefix="0" xfId="0">
      <alignment horizontal="center" vertical="center"/>
    </xf>
    <xf numFmtId="0" fontId="0" fillId="6" borderId="9" applyAlignment="1" pivotButton="0" quotePrefix="0" xfId="0">
      <alignment horizontal="center" vertical="center"/>
    </xf>
    <xf numFmtId="166" fontId="0" fillId="6" borderId="9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6" borderId="9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2"/>
    </xf>
    <xf numFmtId="0" fontId="3" fillId="8" borderId="0" applyAlignment="1" pivotButton="0" quotePrefix="0" xfId="0">
      <alignment horizontal="left" vertical="center" indent="1"/>
    </xf>
    <xf numFmtId="0" fontId="3" fillId="9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 vs Dépenses mensuels HT —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'Pivot_Analytics'!B4</f>
            </strRef>
          </tx>
          <spPr>
            <a:ln>
              <a:prstDash val="solid"/>
            </a:ln>
          </spPr>
          <cat>
            <numRef>
              <f>'Pivot_Analytics'!$A$5:$A$16</f>
            </numRef>
          </cat>
          <val>
            <numRef>
              <f>'Pivot_Analytics'!$B$5:$B$16</f>
            </numRef>
          </val>
        </ser>
        <ser>
          <idx val="1"/>
          <order val="1"/>
          <tx>
            <strRef>
              <f>'Pivot_Analytics'!C4</f>
            </strRef>
          </tx>
          <spPr>
            <a:ln>
              <a:prstDash val="solid"/>
            </a:ln>
          </spPr>
          <cat>
            <numRef>
              <f>'Pivot_Analytics'!$A$5:$A$16</f>
            </numRef>
          </cat>
          <val>
            <numRef>
              <f>'Pivot_Analytics'!$C$5:$C$16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Montant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TVA collectée vs TVA déductible —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'Pivot_Analytics'!D4</f>
            </strRef>
          </tx>
          <spPr>
            <a:ln>
              <a:prstDash val="solid"/>
            </a:ln>
          </spPr>
          <cat>
            <numRef>
              <f>'Pivot_Analytics'!$A$5:$A$16</f>
            </numRef>
          </cat>
          <val>
            <numRef>
              <f>'Pivot_Analytics'!$D$5:$D$16</f>
            </numRef>
          </val>
        </ser>
        <ser>
          <idx val="1"/>
          <order val="1"/>
          <tx>
            <strRef>
              <f>'Pivot_Analytics'!E4</f>
            </strRef>
          </tx>
          <spPr>
            <a:ln>
              <a:prstDash val="solid"/>
            </a:ln>
          </spPr>
          <cat>
            <numRef>
              <f>'Pivot_Analytics'!$A$5:$A$16</f>
            </numRef>
          </cat>
          <val>
            <numRef>
              <f>'Pivot_Analytics'!$E$5:$E$16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Montant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Évolution solde TVA — 2026</a:t>
            </a:r>
          </a:p>
        </rich>
      </tx>
    </title>
    <plotArea>
      <lineChart>
        <grouping val="standard"/>
        <ser>
          <idx val="0"/>
          <order val="0"/>
          <tx>
            <strRef>
              <f>'Pivot_Analytics'!F4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'Pivot_Analytics'!$A$5:$A$16</f>
            </numRef>
          </cat>
          <val>
            <numRef>
              <f>'Pivot_Analytics'!$F$5:$F$16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Solde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40</row>
      <rowOff>0</rowOff>
    </from>
    <ext cx="792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ournisseurs_DB" displayName="Fournisseurs_DB" ref="A1:N2000" headerRowCount="1">
  <autoFilter ref="A1:N2000"/>
  <tableColumns count="14">
    <tableColumn id="1" name="ID_Facture"/>
    <tableColumn id="2" name="Fournisseur / Client"/>
    <tableColumn id="3" name="Numéro_Facture"/>
    <tableColumn id="4" name="Date_Emission"/>
    <tableColumn id="5" name="Montant_HT"/>
    <tableColumn id="6" name="Montant_TVA"/>
    <tableColumn id="7" name="Montant_TTC"/>
    <tableColumn id="8" name="Taux_TVA"/>
    <tableColumn id="9" name="Catégorie"/>
    <tableColumn id="10" name="Lien_PDF"/>
    <tableColumn id="11" name="Statut_Paiement"/>
    <tableColumn id="12" name="Date_Import"/>
    <tableColumn id="13" name="Source_Extraction"/>
    <tableColumn id="14" name="Date_Règle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lients_DB" displayName="Clients_DB" ref="A1:N2000" headerRowCount="1">
  <autoFilter ref="A1:N2000"/>
  <tableColumns count="14">
    <tableColumn id="1" name="ID_Facture"/>
    <tableColumn id="2" name="Fournisseur / Client"/>
    <tableColumn id="3" name="Numéro_Facture"/>
    <tableColumn id="4" name="Date_Emission"/>
    <tableColumn id="5" name="Montant_HT"/>
    <tableColumn id="6" name="Montant_TVA"/>
    <tableColumn id="7" name="Montant_TTC"/>
    <tableColumn id="8" name="Taux_TVA"/>
    <tableColumn id="9" name="Catégorie"/>
    <tableColumn id="10" name="Lien_PDF"/>
    <tableColumn id="11" name="Statut_Paiement"/>
    <tableColumn id="12" name="Date_Import"/>
    <tableColumn id="13" name="Source_Extraction"/>
    <tableColumn id="14" name="Date_Règle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20" customWidth="1" min="9" max="9"/>
    <col width="45" customWidth="1" min="10" max="10"/>
    <col width="16" customWidth="1" min="11" max="11"/>
    <col width="14" customWidth="1" min="12" max="12"/>
    <col width="18" customWidth="1" min="13" max="13"/>
    <col width="16" customWidth="1" min="14" max="14"/>
  </cols>
  <sheetData>
    <row r="1" ht="38" customHeight="1">
      <c r="A1" s="1" t="inlineStr">
        <is>
          <t>ID_Facture</t>
        </is>
      </c>
      <c r="B1" s="1" t="inlineStr">
        <is>
          <t>Fournisseur / Client</t>
        </is>
      </c>
      <c r="C1" s="1" t="inlineStr">
        <is>
          <t>Numéro_Facture</t>
        </is>
      </c>
      <c r="D1" s="1" t="inlineStr">
        <is>
          <t>Date_Emission</t>
        </is>
      </c>
      <c r="E1" s="1" t="inlineStr">
        <is>
          <t>Montant_HT</t>
        </is>
      </c>
      <c r="F1" s="1" t="inlineStr">
        <is>
          <t>Montant_TVA</t>
        </is>
      </c>
      <c r="G1" s="1" t="inlineStr">
        <is>
          <t>Montant_TTC</t>
        </is>
      </c>
      <c r="H1" s="1" t="inlineStr">
        <is>
          <t>Taux_TVA</t>
        </is>
      </c>
      <c r="I1" s="1" t="inlineStr">
        <is>
          <t>Catégorie</t>
        </is>
      </c>
      <c r="J1" s="1" t="inlineStr">
        <is>
          <t>Lien_PDF</t>
        </is>
      </c>
      <c r="K1" s="1" t="inlineStr">
        <is>
          <t>Statut_Paiement</t>
        </is>
      </c>
      <c r="L1" s="1" t="inlineStr">
        <is>
          <t>Date_Import</t>
        </is>
      </c>
      <c r="M1" s="1" t="inlineStr">
        <is>
          <t>Source_Extraction</t>
        </is>
      </c>
      <c r="N1" s="1" t="inlineStr">
        <is>
          <t>Date_Règlement</t>
        </is>
      </c>
    </row>
    <row r="2">
      <c r="D2" s="2" t="n"/>
      <c r="E2" s="3" t="n"/>
      <c r="F2" s="3" t="n"/>
      <c r="G2" s="3" t="n"/>
      <c r="H2" s="4" t="n"/>
      <c r="L2" s="2" t="n"/>
      <c r="N2" s="2" t="n"/>
    </row>
    <row r="3">
      <c r="D3" s="2" t="n"/>
      <c r="E3" s="3" t="n"/>
      <c r="F3" s="3" t="n"/>
      <c r="G3" s="3" t="n"/>
      <c r="H3" s="4" t="n"/>
      <c r="L3" s="2" t="n"/>
      <c r="N3" s="2" t="n"/>
    </row>
    <row r="4">
      <c r="D4" s="2" t="n"/>
      <c r="E4" s="3" t="n"/>
      <c r="F4" s="3" t="n"/>
      <c r="G4" s="3" t="n"/>
      <c r="H4" s="4" t="n"/>
      <c r="L4" s="2" t="n"/>
      <c r="N4" s="2" t="n"/>
    </row>
    <row r="5">
      <c r="D5" s="2" t="n"/>
      <c r="E5" s="3" t="n"/>
      <c r="F5" s="3" t="n"/>
      <c r="G5" s="3" t="n"/>
      <c r="H5" s="4" t="n"/>
      <c r="L5" s="2" t="n"/>
      <c r="N5" s="2" t="n"/>
    </row>
    <row r="6">
      <c r="D6" s="2" t="n"/>
      <c r="E6" s="3" t="n"/>
      <c r="F6" s="3" t="n"/>
      <c r="G6" s="3" t="n"/>
      <c r="H6" s="4" t="n"/>
      <c r="L6" s="2" t="n"/>
      <c r="N6" s="2" t="n"/>
    </row>
    <row r="7">
      <c r="D7" s="2" t="n"/>
      <c r="E7" s="3" t="n"/>
      <c r="F7" s="3" t="n"/>
      <c r="G7" s="3" t="n"/>
      <c r="H7" s="4" t="n"/>
      <c r="L7" s="2" t="n"/>
      <c r="N7" s="2" t="n"/>
    </row>
    <row r="8">
      <c r="D8" s="2" t="n"/>
      <c r="E8" s="3" t="n"/>
      <c r="F8" s="3" t="n"/>
      <c r="G8" s="3" t="n"/>
      <c r="H8" s="4" t="n"/>
      <c r="L8" s="2" t="n"/>
      <c r="N8" s="2" t="n"/>
    </row>
    <row r="9">
      <c r="D9" s="2" t="n"/>
      <c r="E9" s="3" t="n"/>
      <c r="F9" s="3" t="n"/>
      <c r="G9" s="3" t="n"/>
      <c r="H9" s="4" t="n"/>
      <c r="L9" s="2" t="n"/>
      <c r="N9" s="2" t="n"/>
    </row>
    <row r="10">
      <c r="D10" s="2" t="n"/>
      <c r="E10" s="3" t="n"/>
      <c r="F10" s="3" t="n"/>
      <c r="G10" s="3" t="n"/>
      <c r="H10" s="4" t="n"/>
      <c r="L10" s="2" t="n"/>
      <c r="N10" s="2" t="n"/>
    </row>
    <row r="11">
      <c r="D11" s="2" t="n"/>
      <c r="E11" s="3" t="n"/>
      <c r="F11" s="3" t="n"/>
      <c r="G11" s="3" t="n"/>
      <c r="H11" s="4" t="n"/>
      <c r="L11" s="2" t="n"/>
      <c r="N11" s="2" t="n"/>
    </row>
    <row r="12">
      <c r="D12" s="2" t="n"/>
      <c r="E12" s="3" t="n"/>
      <c r="F12" s="3" t="n"/>
      <c r="G12" s="3" t="n"/>
      <c r="H12" s="4" t="n"/>
      <c r="L12" s="2" t="n"/>
      <c r="N12" s="2" t="n"/>
    </row>
    <row r="13">
      <c r="D13" s="2" t="n"/>
      <c r="E13" s="3" t="n"/>
      <c r="F13" s="3" t="n"/>
      <c r="G13" s="3" t="n"/>
      <c r="H13" s="4" t="n"/>
      <c r="L13" s="2" t="n"/>
      <c r="N13" s="2" t="n"/>
    </row>
    <row r="14">
      <c r="D14" s="2" t="n"/>
      <c r="E14" s="3" t="n"/>
      <c r="F14" s="3" t="n"/>
      <c r="G14" s="3" t="n"/>
      <c r="H14" s="4" t="n"/>
      <c r="L14" s="2" t="n"/>
      <c r="N14" s="2" t="n"/>
    </row>
    <row r="15">
      <c r="D15" s="2" t="n"/>
      <c r="E15" s="3" t="n"/>
      <c r="F15" s="3" t="n"/>
      <c r="G15" s="3" t="n"/>
      <c r="H15" s="4" t="n"/>
      <c r="L15" s="2" t="n"/>
      <c r="N15" s="2" t="n"/>
    </row>
    <row r="16">
      <c r="D16" s="2" t="n"/>
      <c r="E16" s="3" t="n"/>
      <c r="F16" s="3" t="n"/>
      <c r="G16" s="3" t="n"/>
      <c r="H16" s="4" t="n"/>
      <c r="L16" s="2" t="n"/>
      <c r="N16" s="2" t="n"/>
    </row>
    <row r="17">
      <c r="D17" s="2" t="n"/>
      <c r="E17" s="3" t="n"/>
      <c r="F17" s="3" t="n"/>
      <c r="G17" s="3" t="n"/>
      <c r="H17" s="4" t="n"/>
      <c r="L17" s="2" t="n"/>
      <c r="N17" s="2" t="n"/>
    </row>
    <row r="18">
      <c r="D18" s="2" t="n"/>
      <c r="E18" s="3" t="n"/>
      <c r="F18" s="3" t="n"/>
      <c r="G18" s="3" t="n"/>
      <c r="H18" s="4" t="n"/>
      <c r="L18" s="2" t="n"/>
      <c r="N18" s="2" t="n"/>
    </row>
    <row r="19">
      <c r="D19" s="2" t="n"/>
      <c r="E19" s="3" t="n"/>
      <c r="F19" s="3" t="n"/>
      <c r="G19" s="3" t="n"/>
      <c r="H19" s="4" t="n"/>
      <c r="L19" s="2" t="n"/>
      <c r="N19" s="2" t="n"/>
    </row>
    <row r="20">
      <c r="D20" s="2" t="n"/>
      <c r="E20" s="3" t="n"/>
      <c r="F20" s="3" t="n"/>
      <c r="G20" s="3" t="n"/>
      <c r="H20" s="4" t="n"/>
      <c r="L20" s="2" t="n"/>
      <c r="N20" s="2" t="n"/>
    </row>
    <row r="21">
      <c r="D21" s="2" t="n"/>
      <c r="E21" s="3" t="n"/>
      <c r="F21" s="3" t="n"/>
      <c r="G21" s="3" t="n"/>
      <c r="H21" s="4" t="n"/>
      <c r="L21" s="2" t="n"/>
      <c r="N21" s="2" t="n"/>
    </row>
    <row r="22">
      <c r="D22" s="2" t="n"/>
      <c r="E22" s="3" t="n"/>
      <c r="F22" s="3" t="n"/>
      <c r="G22" s="3" t="n"/>
      <c r="H22" s="4" t="n"/>
      <c r="L22" s="2" t="n"/>
      <c r="N22" s="2" t="n"/>
    </row>
    <row r="23">
      <c r="D23" s="2" t="n"/>
      <c r="E23" s="3" t="n"/>
      <c r="F23" s="3" t="n"/>
      <c r="G23" s="3" t="n"/>
      <c r="H23" s="4" t="n"/>
      <c r="L23" s="2" t="n"/>
      <c r="N23" s="2" t="n"/>
    </row>
    <row r="24">
      <c r="D24" s="2" t="n"/>
      <c r="E24" s="3" t="n"/>
      <c r="F24" s="3" t="n"/>
      <c r="G24" s="3" t="n"/>
      <c r="H24" s="4" t="n"/>
      <c r="L24" s="2" t="n"/>
      <c r="N24" s="2" t="n"/>
    </row>
    <row r="25">
      <c r="D25" s="2" t="n"/>
      <c r="E25" s="3" t="n"/>
      <c r="F25" s="3" t="n"/>
      <c r="G25" s="3" t="n"/>
      <c r="H25" s="4" t="n"/>
      <c r="L25" s="2" t="n"/>
      <c r="N25" s="2" t="n"/>
    </row>
    <row r="26">
      <c r="D26" s="2" t="n"/>
      <c r="E26" s="3" t="n"/>
      <c r="F26" s="3" t="n"/>
      <c r="G26" s="3" t="n"/>
      <c r="H26" s="4" t="n"/>
      <c r="L26" s="2" t="n"/>
      <c r="N26" s="2" t="n"/>
    </row>
    <row r="27">
      <c r="D27" s="2" t="n"/>
      <c r="E27" s="3" t="n"/>
      <c r="F27" s="3" t="n"/>
      <c r="G27" s="3" t="n"/>
      <c r="H27" s="4" t="n"/>
      <c r="L27" s="2" t="n"/>
      <c r="N27" s="2" t="n"/>
    </row>
    <row r="28">
      <c r="D28" s="2" t="n"/>
      <c r="E28" s="3" t="n"/>
      <c r="F28" s="3" t="n"/>
      <c r="G28" s="3" t="n"/>
      <c r="H28" s="4" t="n"/>
      <c r="L28" s="2" t="n"/>
      <c r="N28" s="2" t="n"/>
    </row>
    <row r="29">
      <c r="D29" s="2" t="n"/>
      <c r="E29" s="3" t="n"/>
      <c r="F29" s="3" t="n"/>
      <c r="G29" s="3" t="n"/>
      <c r="H29" s="4" t="n"/>
      <c r="L29" s="2" t="n"/>
      <c r="N29" s="2" t="n"/>
    </row>
    <row r="30">
      <c r="D30" s="2" t="n"/>
      <c r="E30" s="3" t="n"/>
      <c r="F30" s="3" t="n"/>
      <c r="G30" s="3" t="n"/>
      <c r="H30" s="4" t="n"/>
      <c r="L30" s="2" t="n"/>
      <c r="N30" s="2" t="n"/>
    </row>
    <row r="31">
      <c r="D31" s="2" t="n"/>
      <c r="E31" s="3" t="n"/>
      <c r="F31" s="3" t="n"/>
      <c r="G31" s="3" t="n"/>
      <c r="H31" s="4" t="n"/>
      <c r="L31" s="2" t="n"/>
      <c r="N31" s="2" t="n"/>
    </row>
    <row r="32">
      <c r="D32" s="2" t="n"/>
      <c r="E32" s="3" t="n"/>
      <c r="F32" s="3" t="n"/>
      <c r="G32" s="3" t="n"/>
      <c r="H32" s="4" t="n"/>
      <c r="L32" s="2" t="n"/>
      <c r="N32" s="2" t="n"/>
    </row>
    <row r="33">
      <c r="D33" s="2" t="n"/>
      <c r="E33" s="3" t="n"/>
      <c r="F33" s="3" t="n"/>
      <c r="G33" s="3" t="n"/>
      <c r="H33" s="4" t="n"/>
      <c r="L33" s="2" t="n"/>
      <c r="N33" s="2" t="n"/>
    </row>
    <row r="34">
      <c r="D34" s="2" t="n"/>
      <c r="E34" s="3" t="n"/>
      <c r="F34" s="3" t="n"/>
      <c r="G34" s="3" t="n"/>
      <c r="H34" s="4" t="n"/>
      <c r="L34" s="2" t="n"/>
      <c r="N34" s="2" t="n"/>
    </row>
    <row r="35">
      <c r="D35" s="2" t="n"/>
      <c r="E35" s="3" t="n"/>
      <c r="F35" s="3" t="n"/>
      <c r="G35" s="3" t="n"/>
      <c r="H35" s="4" t="n"/>
      <c r="L35" s="2" t="n"/>
      <c r="N35" s="2" t="n"/>
    </row>
    <row r="36">
      <c r="D36" s="2" t="n"/>
      <c r="E36" s="3" t="n"/>
      <c r="F36" s="3" t="n"/>
      <c r="G36" s="3" t="n"/>
      <c r="H36" s="4" t="n"/>
      <c r="L36" s="2" t="n"/>
      <c r="N36" s="2" t="n"/>
    </row>
    <row r="37">
      <c r="D37" s="2" t="n"/>
      <c r="E37" s="3" t="n"/>
      <c r="F37" s="3" t="n"/>
      <c r="G37" s="3" t="n"/>
      <c r="H37" s="4" t="n"/>
      <c r="L37" s="2" t="n"/>
      <c r="N37" s="2" t="n"/>
    </row>
    <row r="38">
      <c r="D38" s="2" t="n"/>
      <c r="E38" s="3" t="n"/>
      <c r="F38" s="3" t="n"/>
      <c r="G38" s="3" t="n"/>
      <c r="H38" s="4" t="n"/>
      <c r="L38" s="2" t="n"/>
      <c r="N38" s="2" t="n"/>
    </row>
    <row r="39">
      <c r="D39" s="2" t="n"/>
      <c r="E39" s="3" t="n"/>
      <c r="F39" s="3" t="n"/>
      <c r="G39" s="3" t="n"/>
      <c r="H39" s="4" t="n"/>
      <c r="L39" s="2" t="n"/>
      <c r="N39" s="2" t="n"/>
    </row>
    <row r="40">
      <c r="D40" s="2" t="n"/>
      <c r="E40" s="3" t="n"/>
      <c r="F40" s="3" t="n"/>
      <c r="G40" s="3" t="n"/>
      <c r="H40" s="4" t="n"/>
      <c r="L40" s="2" t="n"/>
      <c r="N40" s="2" t="n"/>
    </row>
    <row r="41">
      <c r="D41" s="2" t="n"/>
      <c r="E41" s="3" t="n"/>
      <c r="F41" s="3" t="n"/>
      <c r="G41" s="3" t="n"/>
      <c r="H41" s="4" t="n"/>
      <c r="L41" s="2" t="n"/>
      <c r="N41" s="2" t="n"/>
    </row>
    <row r="42">
      <c r="D42" s="2" t="n"/>
      <c r="E42" s="3" t="n"/>
      <c r="F42" s="3" t="n"/>
      <c r="G42" s="3" t="n"/>
      <c r="H42" s="4" t="n"/>
      <c r="L42" s="2" t="n"/>
      <c r="N42" s="2" t="n"/>
    </row>
    <row r="43">
      <c r="D43" s="2" t="n"/>
      <c r="E43" s="3" t="n"/>
      <c r="F43" s="3" t="n"/>
      <c r="G43" s="3" t="n"/>
      <c r="H43" s="4" t="n"/>
      <c r="L43" s="2" t="n"/>
      <c r="N43" s="2" t="n"/>
    </row>
    <row r="44">
      <c r="D44" s="2" t="n"/>
      <c r="E44" s="3" t="n"/>
      <c r="F44" s="3" t="n"/>
      <c r="G44" s="3" t="n"/>
      <c r="H44" s="4" t="n"/>
      <c r="L44" s="2" t="n"/>
      <c r="N44" s="2" t="n"/>
    </row>
    <row r="45">
      <c r="D45" s="2" t="n"/>
      <c r="E45" s="3" t="n"/>
      <c r="F45" s="3" t="n"/>
      <c r="G45" s="3" t="n"/>
      <c r="H45" s="4" t="n"/>
      <c r="L45" s="2" t="n"/>
      <c r="N45" s="2" t="n"/>
    </row>
    <row r="46">
      <c r="D46" s="2" t="n"/>
      <c r="E46" s="3" t="n"/>
      <c r="F46" s="3" t="n"/>
      <c r="G46" s="3" t="n"/>
      <c r="H46" s="4" t="n"/>
      <c r="L46" s="2" t="n"/>
      <c r="N46" s="2" t="n"/>
    </row>
    <row r="47">
      <c r="D47" s="2" t="n"/>
      <c r="E47" s="3" t="n"/>
      <c r="F47" s="3" t="n"/>
      <c r="G47" s="3" t="n"/>
      <c r="H47" s="4" t="n"/>
      <c r="L47" s="2" t="n"/>
      <c r="N47" s="2" t="n"/>
    </row>
    <row r="48">
      <c r="D48" s="2" t="n"/>
      <c r="E48" s="3" t="n"/>
      <c r="F48" s="3" t="n"/>
      <c r="G48" s="3" t="n"/>
      <c r="H48" s="4" t="n"/>
      <c r="L48" s="2" t="n"/>
      <c r="N48" s="2" t="n"/>
    </row>
    <row r="49">
      <c r="D49" s="2" t="n"/>
      <c r="E49" s="3" t="n"/>
      <c r="F49" s="3" t="n"/>
      <c r="G49" s="3" t="n"/>
      <c r="H49" s="4" t="n"/>
      <c r="L49" s="2" t="n"/>
      <c r="N49" s="2" t="n"/>
    </row>
    <row r="50">
      <c r="D50" s="2" t="n"/>
      <c r="E50" s="3" t="n"/>
      <c r="F50" s="3" t="n"/>
      <c r="G50" s="3" t="n"/>
      <c r="H50" s="4" t="n"/>
      <c r="L50" s="2" t="n"/>
      <c r="N50" s="2" t="n"/>
    </row>
    <row r="51">
      <c r="D51" s="2" t="n"/>
      <c r="E51" s="3" t="n"/>
      <c r="F51" s="3" t="n"/>
      <c r="G51" s="3" t="n"/>
      <c r="H51" s="4" t="n"/>
      <c r="L51" s="2" t="n"/>
      <c r="N51" s="2" t="n"/>
    </row>
    <row r="52">
      <c r="D52" s="2" t="n"/>
      <c r="E52" s="3" t="n"/>
      <c r="F52" s="3" t="n"/>
      <c r="G52" s="3" t="n"/>
      <c r="H52" s="4" t="n"/>
      <c r="L52" s="2" t="n"/>
      <c r="N52" s="2" t="n"/>
    </row>
    <row r="53">
      <c r="D53" s="2" t="n"/>
      <c r="E53" s="3" t="n"/>
      <c r="F53" s="3" t="n"/>
      <c r="G53" s="3" t="n"/>
      <c r="H53" s="4" t="n"/>
      <c r="L53" s="2" t="n"/>
      <c r="N53" s="2" t="n"/>
    </row>
    <row r="54">
      <c r="D54" s="2" t="n"/>
      <c r="E54" s="3" t="n"/>
      <c r="F54" s="3" t="n"/>
      <c r="G54" s="3" t="n"/>
      <c r="H54" s="4" t="n"/>
      <c r="L54" s="2" t="n"/>
      <c r="N54" s="2" t="n"/>
    </row>
    <row r="55">
      <c r="D55" s="2" t="n"/>
      <c r="E55" s="3" t="n"/>
      <c r="F55" s="3" t="n"/>
      <c r="G55" s="3" t="n"/>
      <c r="H55" s="4" t="n"/>
      <c r="L55" s="2" t="n"/>
      <c r="N55" s="2" t="n"/>
    </row>
    <row r="56">
      <c r="D56" s="2" t="n"/>
      <c r="E56" s="3" t="n"/>
      <c r="F56" s="3" t="n"/>
      <c r="G56" s="3" t="n"/>
      <c r="H56" s="4" t="n"/>
      <c r="L56" s="2" t="n"/>
      <c r="N56" s="2" t="n"/>
    </row>
    <row r="57">
      <c r="D57" s="2" t="n"/>
      <c r="E57" s="3" t="n"/>
      <c r="F57" s="3" t="n"/>
      <c r="G57" s="3" t="n"/>
      <c r="H57" s="4" t="n"/>
      <c r="L57" s="2" t="n"/>
      <c r="N57" s="2" t="n"/>
    </row>
    <row r="58">
      <c r="D58" s="2" t="n"/>
      <c r="E58" s="3" t="n"/>
      <c r="F58" s="3" t="n"/>
      <c r="G58" s="3" t="n"/>
      <c r="H58" s="4" t="n"/>
      <c r="L58" s="2" t="n"/>
      <c r="N58" s="2" t="n"/>
    </row>
    <row r="59">
      <c r="D59" s="2" t="n"/>
      <c r="E59" s="3" t="n"/>
      <c r="F59" s="3" t="n"/>
      <c r="G59" s="3" t="n"/>
      <c r="H59" s="4" t="n"/>
      <c r="L59" s="2" t="n"/>
      <c r="N59" s="2" t="n"/>
    </row>
    <row r="60">
      <c r="D60" s="2" t="n"/>
      <c r="E60" s="3" t="n"/>
      <c r="F60" s="3" t="n"/>
      <c r="G60" s="3" t="n"/>
      <c r="H60" s="4" t="n"/>
      <c r="L60" s="2" t="n"/>
      <c r="N60" s="2" t="n"/>
    </row>
    <row r="61">
      <c r="D61" s="2" t="n"/>
      <c r="E61" s="3" t="n"/>
      <c r="F61" s="3" t="n"/>
      <c r="G61" s="3" t="n"/>
      <c r="H61" s="4" t="n"/>
      <c r="L61" s="2" t="n"/>
      <c r="N61" s="2" t="n"/>
    </row>
    <row r="62">
      <c r="D62" s="2" t="n"/>
      <c r="E62" s="3" t="n"/>
      <c r="F62" s="3" t="n"/>
      <c r="G62" s="3" t="n"/>
      <c r="H62" s="4" t="n"/>
      <c r="L62" s="2" t="n"/>
      <c r="N62" s="2" t="n"/>
    </row>
    <row r="63">
      <c r="D63" s="2" t="n"/>
      <c r="E63" s="3" t="n"/>
      <c r="F63" s="3" t="n"/>
      <c r="G63" s="3" t="n"/>
      <c r="H63" s="4" t="n"/>
      <c r="L63" s="2" t="n"/>
      <c r="N63" s="2" t="n"/>
    </row>
    <row r="64">
      <c r="D64" s="2" t="n"/>
      <c r="E64" s="3" t="n"/>
      <c r="F64" s="3" t="n"/>
      <c r="G64" s="3" t="n"/>
      <c r="H64" s="4" t="n"/>
      <c r="L64" s="2" t="n"/>
      <c r="N64" s="2" t="n"/>
    </row>
    <row r="65">
      <c r="D65" s="2" t="n"/>
      <c r="E65" s="3" t="n"/>
      <c r="F65" s="3" t="n"/>
      <c r="G65" s="3" t="n"/>
      <c r="H65" s="4" t="n"/>
      <c r="L65" s="2" t="n"/>
      <c r="N65" s="2" t="n"/>
    </row>
    <row r="66">
      <c r="D66" s="2" t="n"/>
      <c r="E66" s="3" t="n"/>
      <c r="F66" s="3" t="n"/>
      <c r="G66" s="3" t="n"/>
      <c r="H66" s="4" t="n"/>
      <c r="L66" s="2" t="n"/>
      <c r="N66" s="2" t="n"/>
    </row>
    <row r="67">
      <c r="D67" s="2" t="n"/>
      <c r="E67" s="3" t="n"/>
      <c r="F67" s="3" t="n"/>
      <c r="G67" s="3" t="n"/>
      <c r="H67" s="4" t="n"/>
      <c r="L67" s="2" t="n"/>
      <c r="N67" s="2" t="n"/>
    </row>
    <row r="68">
      <c r="D68" s="2" t="n"/>
      <c r="E68" s="3" t="n"/>
      <c r="F68" s="3" t="n"/>
      <c r="G68" s="3" t="n"/>
      <c r="H68" s="4" t="n"/>
      <c r="L68" s="2" t="n"/>
      <c r="N68" s="2" t="n"/>
    </row>
    <row r="69">
      <c r="D69" s="2" t="n"/>
      <c r="E69" s="3" t="n"/>
      <c r="F69" s="3" t="n"/>
      <c r="G69" s="3" t="n"/>
      <c r="H69" s="4" t="n"/>
      <c r="L69" s="2" t="n"/>
      <c r="N69" s="2" t="n"/>
    </row>
    <row r="70">
      <c r="D70" s="2" t="n"/>
      <c r="E70" s="3" t="n"/>
      <c r="F70" s="3" t="n"/>
      <c r="G70" s="3" t="n"/>
      <c r="H70" s="4" t="n"/>
      <c r="L70" s="2" t="n"/>
      <c r="N70" s="2" t="n"/>
    </row>
    <row r="71">
      <c r="D71" s="2" t="n"/>
      <c r="E71" s="3" t="n"/>
      <c r="F71" s="3" t="n"/>
      <c r="G71" s="3" t="n"/>
      <c r="H71" s="4" t="n"/>
      <c r="L71" s="2" t="n"/>
      <c r="N71" s="2" t="n"/>
    </row>
    <row r="72">
      <c r="D72" s="2" t="n"/>
      <c r="E72" s="3" t="n"/>
      <c r="F72" s="3" t="n"/>
      <c r="G72" s="3" t="n"/>
      <c r="H72" s="4" t="n"/>
      <c r="L72" s="2" t="n"/>
      <c r="N72" s="2" t="n"/>
    </row>
    <row r="73">
      <c r="D73" s="2" t="n"/>
      <c r="E73" s="3" t="n"/>
      <c r="F73" s="3" t="n"/>
      <c r="G73" s="3" t="n"/>
      <c r="H73" s="4" t="n"/>
      <c r="L73" s="2" t="n"/>
      <c r="N73" s="2" t="n"/>
    </row>
    <row r="74">
      <c r="D74" s="2" t="n"/>
      <c r="E74" s="3" t="n"/>
      <c r="F74" s="3" t="n"/>
      <c r="G74" s="3" t="n"/>
      <c r="H74" s="4" t="n"/>
      <c r="L74" s="2" t="n"/>
      <c r="N74" s="2" t="n"/>
    </row>
    <row r="75">
      <c r="D75" s="2" t="n"/>
      <c r="E75" s="3" t="n"/>
      <c r="F75" s="3" t="n"/>
      <c r="G75" s="3" t="n"/>
      <c r="H75" s="4" t="n"/>
      <c r="L75" s="2" t="n"/>
      <c r="N75" s="2" t="n"/>
    </row>
    <row r="76">
      <c r="D76" s="2" t="n"/>
      <c r="E76" s="3" t="n"/>
      <c r="F76" s="3" t="n"/>
      <c r="G76" s="3" t="n"/>
      <c r="H76" s="4" t="n"/>
      <c r="L76" s="2" t="n"/>
      <c r="N76" s="2" t="n"/>
    </row>
    <row r="77">
      <c r="D77" s="2" t="n"/>
      <c r="E77" s="3" t="n"/>
      <c r="F77" s="3" t="n"/>
      <c r="G77" s="3" t="n"/>
      <c r="H77" s="4" t="n"/>
      <c r="L77" s="2" t="n"/>
      <c r="N77" s="2" t="n"/>
    </row>
    <row r="78">
      <c r="D78" s="2" t="n"/>
      <c r="E78" s="3" t="n"/>
      <c r="F78" s="3" t="n"/>
      <c r="G78" s="3" t="n"/>
      <c r="H78" s="4" t="n"/>
      <c r="L78" s="2" t="n"/>
      <c r="N78" s="2" t="n"/>
    </row>
    <row r="79">
      <c r="D79" s="2" t="n"/>
      <c r="E79" s="3" t="n"/>
      <c r="F79" s="3" t="n"/>
      <c r="G79" s="3" t="n"/>
      <c r="H79" s="4" t="n"/>
      <c r="L79" s="2" t="n"/>
      <c r="N79" s="2" t="n"/>
    </row>
    <row r="80">
      <c r="D80" s="2" t="n"/>
      <c r="E80" s="3" t="n"/>
      <c r="F80" s="3" t="n"/>
      <c r="G80" s="3" t="n"/>
      <c r="H80" s="4" t="n"/>
      <c r="L80" s="2" t="n"/>
      <c r="N80" s="2" t="n"/>
    </row>
    <row r="81">
      <c r="D81" s="2" t="n"/>
      <c r="E81" s="3" t="n"/>
      <c r="F81" s="3" t="n"/>
      <c r="G81" s="3" t="n"/>
      <c r="H81" s="4" t="n"/>
      <c r="L81" s="2" t="n"/>
      <c r="N81" s="2" t="n"/>
    </row>
    <row r="82">
      <c r="D82" s="2" t="n"/>
      <c r="E82" s="3" t="n"/>
      <c r="F82" s="3" t="n"/>
      <c r="G82" s="3" t="n"/>
      <c r="H82" s="4" t="n"/>
      <c r="L82" s="2" t="n"/>
      <c r="N82" s="2" t="n"/>
    </row>
    <row r="83">
      <c r="D83" s="2" t="n"/>
      <c r="E83" s="3" t="n"/>
      <c r="F83" s="3" t="n"/>
      <c r="G83" s="3" t="n"/>
      <c r="H83" s="4" t="n"/>
      <c r="L83" s="2" t="n"/>
      <c r="N83" s="2" t="n"/>
    </row>
    <row r="84">
      <c r="D84" s="2" t="n"/>
      <c r="E84" s="3" t="n"/>
      <c r="F84" s="3" t="n"/>
      <c r="G84" s="3" t="n"/>
      <c r="H84" s="4" t="n"/>
      <c r="L84" s="2" t="n"/>
      <c r="N84" s="2" t="n"/>
    </row>
    <row r="85">
      <c r="D85" s="2" t="n"/>
      <c r="E85" s="3" t="n"/>
      <c r="F85" s="3" t="n"/>
      <c r="G85" s="3" t="n"/>
      <c r="H85" s="4" t="n"/>
      <c r="L85" s="2" t="n"/>
      <c r="N85" s="2" t="n"/>
    </row>
    <row r="86">
      <c r="D86" s="2" t="n"/>
      <c r="E86" s="3" t="n"/>
      <c r="F86" s="3" t="n"/>
      <c r="G86" s="3" t="n"/>
      <c r="H86" s="4" t="n"/>
      <c r="L86" s="2" t="n"/>
      <c r="N86" s="2" t="n"/>
    </row>
    <row r="87">
      <c r="D87" s="2" t="n"/>
      <c r="E87" s="3" t="n"/>
      <c r="F87" s="3" t="n"/>
      <c r="G87" s="3" t="n"/>
      <c r="H87" s="4" t="n"/>
      <c r="L87" s="2" t="n"/>
      <c r="N87" s="2" t="n"/>
    </row>
    <row r="88">
      <c r="D88" s="2" t="n"/>
      <c r="E88" s="3" t="n"/>
      <c r="F88" s="3" t="n"/>
      <c r="G88" s="3" t="n"/>
      <c r="H88" s="4" t="n"/>
      <c r="L88" s="2" t="n"/>
      <c r="N88" s="2" t="n"/>
    </row>
    <row r="89">
      <c r="D89" s="2" t="n"/>
      <c r="E89" s="3" t="n"/>
      <c r="F89" s="3" t="n"/>
      <c r="G89" s="3" t="n"/>
      <c r="H89" s="4" t="n"/>
      <c r="L89" s="2" t="n"/>
      <c r="N89" s="2" t="n"/>
    </row>
    <row r="90">
      <c r="D90" s="2" t="n"/>
      <c r="E90" s="3" t="n"/>
      <c r="F90" s="3" t="n"/>
      <c r="G90" s="3" t="n"/>
      <c r="H90" s="4" t="n"/>
      <c r="L90" s="2" t="n"/>
      <c r="N90" s="2" t="n"/>
    </row>
    <row r="91">
      <c r="D91" s="2" t="n"/>
      <c r="E91" s="3" t="n"/>
      <c r="F91" s="3" t="n"/>
      <c r="G91" s="3" t="n"/>
      <c r="H91" s="4" t="n"/>
      <c r="L91" s="2" t="n"/>
      <c r="N91" s="2" t="n"/>
    </row>
    <row r="92">
      <c r="D92" s="2" t="n"/>
      <c r="E92" s="3" t="n"/>
      <c r="F92" s="3" t="n"/>
      <c r="G92" s="3" t="n"/>
      <c r="H92" s="4" t="n"/>
      <c r="L92" s="2" t="n"/>
      <c r="N92" s="2" t="n"/>
    </row>
    <row r="93">
      <c r="D93" s="2" t="n"/>
      <c r="E93" s="3" t="n"/>
      <c r="F93" s="3" t="n"/>
      <c r="G93" s="3" t="n"/>
      <c r="H93" s="4" t="n"/>
      <c r="L93" s="2" t="n"/>
      <c r="N93" s="2" t="n"/>
    </row>
    <row r="94">
      <c r="D94" s="2" t="n"/>
      <c r="E94" s="3" t="n"/>
      <c r="F94" s="3" t="n"/>
      <c r="G94" s="3" t="n"/>
      <c r="H94" s="4" t="n"/>
      <c r="L94" s="2" t="n"/>
      <c r="N94" s="2" t="n"/>
    </row>
    <row r="95">
      <c r="D95" s="2" t="n"/>
      <c r="E95" s="3" t="n"/>
      <c r="F95" s="3" t="n"/>
      <c r="G95" s="3" t="n"/>
      <c r="H95" s="4" t="n"/>
      <c r="L95" s="2" t="n"/>
      <c r="N95" s="2" t="n"/>
    </row>
    <row r="96">
      <c r="D96" s="2" t="n"/>
      <c r="E96" s="3" t="n"/>
      <c r="F96" s="3" t="n"/>
      <c r="G96" s="3" t="n"/>
      <c r="H96" s="4" t="n"/>
      <c r="L96" s="2" t="n"/>
      <c r="N96" s="2" t="n"/>
    </row>
    <row r="97">
      <c r="D97" s="2" t="n"/>
      <c r="E97" s="3" t="n"/>
      <c r="F97" s="3" t="n"/>
      <c r="G97" s="3" t="n"/>
      <c r="H97" s="4" t="n"/>
      <c r="L97" s="2" t="n"/>
      <c r="N97" s="2" t="n"/>
    </row>
    <row r="98">
      <c r="D98" s="2" t="n"/>
      <c r="E98" s="3" t="n"/>
      <c r="F98" s="3" t="n"/>
      <c r="G98" s="3" t="n"/>
      <c r="H98" s="4" t="n"/>
      <c r="L98" s="2" t="n"/>
      <c r="N98" s="2" t="n"/>
    </row>
    <row r="99">
      <c r="D99" s="2" t="n"/>
      <c r="E99" s="3" t="n"/>
      <c r="F99" s="3" t="n"/>
      <c r="G99" s="3" t="n"/>
      <c r="H99" s="4" t="n"/>
      <c r="L99" s="2" t="n"/>
      <c r="N99" s="2" t="n"/>
    </row>
    <row r="100">
      <c r="D100" s="2" t="n"/>
      <c r="E100" s="3" t="n"/>
      <c r="F100" s="3" t="n"/>
      <c r="G100" s="3" t="n"/>
      <c r="H100" s="4" t="n"/>
      <c r="L100" s="2" t="n"/>
      <c r="N100" s="2" t="n"/>
    </row>
    <row r="101">
      <c r="D101" s="2" t="n"/>
      <c r="E101" s="3" t="n"/>
      <c r="F101" s="3" t="n"/>
      <c r="G101" s="3" t="n"/>
      <c r="H101" s="4" t="n"/>
      <c r="L101" s="2" t="n"/>
      <c r="N101" s="2" t="n"/>
    </row>
    <row r="102">
      <c r="D102" s="2" t="n"/>
      <c r="E102" s="3" t="n"/>
      <c r="F102" s="3" t="n"/>
      <c r="G102" s="3" t="n"/>
      <c r="H102" s="4" t="n"/>
      <c r="L102" s="2" t="n"/>
      <c r="N102" s="2" t="n"/>
    </row>
    <row r="103">
      <c r="D103" s="2" t="n"/>
      <c r="E103" s="3" t="n"/>
      <c r="F103" s="3" t="n"/>
      <c r="G103" s="3" t="n"/>
      <c r="H103" s="4" t="n"/>
      <c r="L103" s="2" t="n"/>
      <c r="N103" s="2" t="n"/>
    </row>
    <row r="104">
      <c r="D104" s="2" t="n"/>
      <c r="E104" s="3" t="n"/>
      <c r="F104" s="3" t="n"/>
      <c r="G104" s="3" t="n"/>
      <c r="H104" s="4" t="n"/>
      <c r="L104" s="2" t="n"/>
      <c r="N104" s="2" t="n"/>
    </row>
    <row r="105">
      <c r="D105" s="2" t="n"/>
      <c r="E105" s="3" t="n"/>
      <c r="F105" s="3" t="n"/>
      <c r="G105" s="3" t="n"/>
      <c r="H105" s="4" t="n"/>
      <c r="L105" s="2" t="n"/>
      <c r="N105" s="2" t="n"/>
    </row>
    <row r="106">
      <c r="D106" s="2" t="n"/>
      <c r="E106" s="3" t="n"/>
      <c r="F106" s="3" t="n"/>
      <c r="G106" s="3" t="n"/>
      <c r="H106" s="4" t="n"/>
      <c r="L106" s="2" t="n"/>
      <c r="N106" s="2" t="n"/>
    </row>
    <row r="107">
      <c r="D107" s="2" t="n"/>
      <c r="E107" s="3" t="n"/>
      <c r="F107" s="3" t="n"/>
      <c r="G107" s="3" t="n"/>
      <c r="H107" s="4" t="n"/>
      <c r="L107" s="2" t="n"/>
      <c r="N107" s="2" t="n"/>
    </row>
    <row r="108">
      <c r="D108" s="2" t="n"/>
      <c r="E108" s="3" t="n"/>
      <c r="F108" s="3" t="n"/>
      <c r="G108" s="3" t="n"/>
      <c r="H108" s="4" t="n"/>
      <c r="L108" s="2" t="n"/>
      <c r="N108" s="2" t="n"/>
    </row>
    <row r="109">
      <c r="D109" s="2" t="n"/>
      <c r="E109" s="3" t="n"/>
      <c r="F109" s="3" t="n"/>
      <c r="G109" s="3" t="n"/>
      <c r="H109" s="4" t="n"/>
      <c r="L109" s="2" t="n"/>
      <c r="N109" s="2" t="n"/>
    </row>
    <row r="110">
      <c r="D110" s="2" t="n"/>
      <c r="E110" s="3" t="n"/>
      <c r="F110" s="3" t="n"/>
      <c r="G110" s="3" t="n"/>
      <c r="H110" s="4" t="n"/>
      <c r="L110" s="2" t="n"/>
      <c r="N110" s="2" t="n"/>
    </row>
    <row r="111">
      <c r="D111" s="2" t="n"/>
      <c r="E111" s="3" t="n"/>
      <c r="F111" s="3" t="n"/>
      <c r="G111" s="3" t="n"/>
      <c r="H111" s="4" t="n"/>
      <c r="L111" s="2" t="n"/>
      <c r="N111" s="2" t="n"/>
    </row>
    <row r="112">
      <c r="D112" s="2" t="n"/>
      <c r="E112" s="3" t="n"/>
      <c r="F112" s="3" t="n"/>
      <c r="G112" s="3" t="n"/>
      <c r="H112" s="4" t="n"/>
      <c r="L112" s="2" t="n"/>
      <c r="N112" s="2" t="n"/>
    </row>
    <row r="113">
      <c r="D113" s="2" t="n"/>
      <c r="E113" s="3" t="n"/>
      <c r="F113" s="3" t="n"/>
      <c r="G113" s="3" t="n"/>
      <c r="H113" s="4" t="n"/>
      <c r="L113" s="2" t="n"/>
      <c r="N113" s="2" t="n"/>
    </row>
    <row r="114">
      <c r="D114" s="2" t="n"/>
      <c r="E114" s="3" t="n"/>
      <c r="F114" s="3" t="n"/>
      <c r="G114" s="3" t="n"/>
      <c r="H114" s="4" t="n"/>
      <c r="L114" s="2" t="n"/>
      <c r="N114" s="2" t="n"/>
    </row>
    <row r="115">
      <c r="D115" s="2" t="n"/>
      <c r="E115" s="3" t="n"/>
      <c r="F115" s="3" t="n"/>
      <c r="G115" s="3" t="n"/>
      <c r="H115" s="4" t="n"/>
      <c r="L115" s="2" t="n"/>
      <c r="N115" s="2" t="n"/>
    </row>
    <row r="116">
      <c r="D116" s="2" t="n"/>
      <c r="E116" s="3" t="n"/>
      <c r="F116" s="3" t="n"/>
      <c r="G116" s="3" t="n"/>
      <c r="H116" s="4" t="n"/>
      <c r="L116" s="2" t="n"/>
      <c r="N116" s="2" t="n"/>
    </row>
    <row r="117">
      <c r="D117" s="2" t="n"/>
      <c r="E117" s="3" t="n"/>
      <c r="F117" s="3" t="n"/>
      <c r="G117" s="3" t="n"/>
      <c r="H117" s="4" t="n"/>
      <c r="L117" s="2" t="n"/>
      <c r="N117" s="2" t="n"/>
    </row>
    <row r="118">
      <c r="D118" s="2" t="n"/>
      <c r="E118" s="3" t="n"/>
      <c r="F118" s="3" t="n"/>
      <c r="G118" s="3" t="n"/>
      <c r="H118" s="4" t="n"/>
      <c r="L118" s="2" t="n"/>
      <c r="N118" s="2" t="n"/>
    </row>
    <row r="119">
      <c r="D119" s="2" t="n"/>
      <c r="E119" s="3" t="n"/>
      <c r="F119" s="3" t="n"/>
      <c r="G119" s="3" t="n"/>
      <c r="H119" s="4" t="n"/>
      <c r="L119" s="2" t="n"/>
      <c r="N119" s="2" t="n"/>
    </row>
    <row r="120">
      <c r="D120" s="2" t="n"/>
      <c r="E120" s="3" t="n"/>
      <c r="F120" s="3" t="n"/>
      <c r="G120" s="3" t="n"/>
      <c r="H120" s="4" t="n"/>
      <c r="L120" s="2" t="n"/>
      <c r="N120" s="2" t="n"/>
    </row>
    <row r="121">
      <c r="D121" s="2" t="n"/>
      <c r="E121" s="3" t="n"/>
      <c r="F121" s="3" t="n"/>
      <c r="G121" s="3" t="n"/>
      <c r="H121" s="4" t="n"/>
      <c r="L121" s="2" t="n"/>
      <c r="N121" s="2" t="n"/>
    </row>
    <row r="122">
      <c r="D122" s="2" t="n"/>
      <c r="E122" s="3" t="n"/>
      <c r="F122" s="3" t="n"/>
      <c r="G122" s="3" t="n"/>
      <c r="H122" s="4" t="n"/>
      <c r="L122" s="2" t="n"/>
      <c r="N122" s="2" t="n"/>
    </row>
    <row r="123">
      <c r="D123" s="2" t="n"/>
      <c r="E123" s="3" t="n"/>
      <c r="F123" s="3" t="n"/>
      <c r="G123" s="3" t="n"/>
      <c r="H123" s="4" t="n"/>
      <c r="L123" s="2" t="n"/>
      <c r="N123" s="2" t="n"/>
    </row>
    <row r="124">
      <c r="D124" s="2" t="n"/>
      <c r="E124" s="3" t="n"/>
      <c r="F124" s="3" t="n"/>
      <c r="G124" s="3" t="n"/>
      <c r="H124" s="4" t="n"/>
      <c r="L124" s="2" t="n"/>
      <c r="N124" s="2" t="n"/>
    </row>
    <row r="125">
      <c r="D125" s="2" t="n"/>
      <c r="E125" s="3" t="n"/>
      <c r="F125" s="3" t="n"/>
      <c r="G125" s="3" t="n"/>
      <c r="H125" s="4" t="n"/>
      <c r="L125" s="2" t="n"/>
      <c r="N125" s="2" t="n"/>
    </row>
    <row r="126">
      <c r="D126" s="2" t="n"/>
      <c r="E126" s="3" t="n"/>
      <c r="F126" s="3" t="n"/>
      <c r="G126" s="3" t="n"/>
      <c r="H126" s="4" t="n"/>
      <c r="L126" s="2" t="n"/>
      <c r="N126" s="2" t="n"/>
    </row>
    <row r="127">
      <c r="D127" s="2" t="n"/>
      <c r="E127" s="3" t="n"/>
      <c r="F127" s="3" t="n"/>
      <c r="G127" s="3" t="n"/>
      <c r="H127" s="4" t="n"/>
      <c r="L127" s="2" t="n"/>
      <c r="N127" s="2" t="n"/>
    </row>
    <row r="128">
      <c r="D128" s="2" t="n"/>
      <c r="E128" s="3" t="n"/>
      <c r="F128" s="3" t="n"/>
      <c r="G128" s="3" t="n"/>
      <c r="H128" s="4" t="n"/>
      <c r="L128" s="2" t="n"/>
      <c r="N128" s="2" t="n"/>
    </row>
    <row r="129">
      <c r="D129" s="2" t="n"/>
      <c r="E129" s="3" t="n"/>
      <c r="F129" s="3" t="n"/>
      <c r="G129" s="3" t="n"/>
      <c r="H129" s="4" t="n"/>
      <c r="L129" s="2" t="n"/>
      <c r="N129" s="2" t="n"/>
    </row>
    <row r="130">
      <c r="D130" s="2" t="n"/>
      <c r="E130" s="3" t="n"/>
      <c r="F130" s="3" t="n"/>
      <c r="G130" s="3" t="n"/>
      <c r="H130" s="4" t="n"/>
      <c r="L130" s="2" t="n"/>
      <c r="N130" s="2" t="n"/>
    </row>
    <row r="131">
      <c r="D131" s="2" t="n"/>
      <c r="E131" s="3" t="n"/>
      <c r="F131" s="3" t="n"/>
      <c r="G131" s="3" t="n"/>
      <c r="H131" s="4" t="n"/>
      <c r="L131" s="2" t="n"/>
      <c r="N131" s="2" t="n"/>
    </row>
    <row r="132">
      <c r="D132" s="2" t="n"/>
      <c r="E132" s="3" t="n"/>
      <c r="F132" s="3" t="n"/>
      <c r="G132" s="3" t="n"/>
      <c r="H132" s="4" t="n"/>
      <c r="L132" s="2" t="n"/>
      <c r="N132" s="2" t="n"/>
    </row>
    <row r="133">
      <c r="D133" s="2" t="n"/>
      <c r="E133" s="3" t="n"/>
      <c r="F133" s="3" t="n"/>
      <c r="G133" s="3" t="n"/>
      <c r="H133" s="4" t="n"/>
      <c r="L133" s="2" t="n"/>
      <c r="N133" s="2" t="n"/>
    </row>
    <row r="134">
      <c r="D134" s="2" t="n"/>
      <c r="E134" s="3" t="n"/>
      <c r="F134" s="3" t="n"/>
      <c r="G134" s="3" t="n"/>
      <c r="H134" s="4" t="n"/>
      <c r="L134" s="2" t="n"/>
      <c r="N134" s="2" t="n"/>
    </row>
    <row r="135">
      <c r="D135" s="2" t="n"/>
      <c r="E135" s="3" t="n"/>
      <c r="F135" s="3" t="n"/>
      <c r="G135" s="3" t="n"/>
      <c r="H135" s="4" t="n"/>
      <c r="L135" s="2" t="n"/>
      <c r="N135" s="2" t="n"/>
    </row>
    <row r="136">
      <c r="D136" s="2" t="n"/>
      <c r="E136" s="3" t="n"/>
      <c r="F136" s="3" t="n"/>
      <c r="G136" s="3" t="n"/>
      <c r="H136" s="4" t="n"/>
      <c r="L136" s="2" t="n"/>
      <c r="N136" s="2" t="n"/>
    </row>
    <row r="137">
      <c r="D137" s="2" t="n"/>
      <c r="E137" s="3" t="n"/>
      <c r="F137" s="3" t="n"/>
      <c r="G137" s="3" t="n"/>
      <c r="H137" s="4" t="n"/>
      <c r="L137" s="2" t="n"/>
      <c r="N137" s="2" t="n"/>
    </row>
    <row r="138">
      <c r="D138" s="2" t="n"/>
      <c r="E138" s="3" t="n"/>
      <c r="F138" s="3" t="n"/>
      <c r="G138" s="3" t="n"/>
      <c r="H138" s="4" t="n"/>
      <c r="L138" s="2" t="n"/>
      <c r="N138" s="2" t="n"/>
    </row>
    <row r="139">
      <c r="D139" s="2" t="n"/>
      <c r="E139" s="3" t="n"/>
      <c r="F139" s="3" t="n"/>
      <c r="G139" s="3" t="n"/>
      <c r="H139" s="4" t="n"/>
      <c r="L139" s="2" t="n"/>
      <c r="N139" s="2" t="n"/>
    </row>
    <row r="140">
      <c r="D140" s="2" t="n"/>
      <c r="E140" s="3" t="n"/>
      <c r="F140" s="3" t="n"/>
      <c r="G140" s="3" t="n"/>
      <c r="H140" s="4" t="n"/>
      <c r="L140" s="2" t="n"/>
      <c r="N140" s="2" t="n"/>
    </row>
    <row r="141">
      <c r="D141" s="2" t="n"/>
      <c r="E141" s="3" t="n"/>
      <c r="F141" s="3" t="n"/>
      <c r="G141" s="3" t="n"/>
      <c r="H141" s="4" t="n"/>
      <c r="L141" s="2" t="n"/>
      <c r="N141" s="2" t="n"/>
    </row>
    <row r="142">
      <c r="D142" s="2" t="n"/>
      <c r="E142" s="3" t="n"/>
      <c r="F142" s="3" t="n"/>
      <c r="G142" s="3" t="n"/>
      <c r="H142" s="4" t="n"/>
      <c r="L142" s="2" t="n"/>
      <c r="N142" s="2" t="n"/>
    </row>
    <row r="143">
      <c r="D143" s="2" t="n"/>
      <c r="E143" s="3" t="n"/>
      <c r="F143" s="3" t="n"/>
      <c r="G143" s="3" t="n"/>
      <c r="H143" s="4" t="n"/>
      <c r="L143" s="2" t="n"/>
      <c r="N143" s="2" t="n"/>
    </row>
    <row r="144">
      <c r="D144" s="2" t="n"/>
      <c r="E144" s="3" t="n"/>
      <c r="F144" s="3" t="n"/>
      <c r="G144" s="3" t="n"/>
      <c r="H144" s="4" t="n"/>
      <c r="L144" s="2" t="n"/>
      <c r="N144" s="2" t="n"/>
    </row>
    <row r="145">
      <c r="D145" s="2" t="n"/>
      <c r="E145" s="3" t="n"/>
      <c r="F145" s="3" t="n"/>
      <c r="G145" s="3" t="n"/>
      <c r="H145" s="4" t="n"/>
      <c r="L145" s="2" t="n"/>
      <c r="N145" s="2" t="n"/>
    </row>
    <row r="146">
      <c r="D146" s="2" t="n"/>
      <c r="E146" s="3" t="n"/>
      <c r="F146" s="3" t="n"/>
      <c r="G146" s="3" t="n"/>
      <c r="H146" s="4" t="n"/>
      <c r="L146" s="2" t="n"/>
      <c r="N146" s="2" t="n"/>
    </row>
    <row r="147">
      <c r="D147" s="2" t="n"/>
      <c r="E147" s="3" t="n"/>
      <c r="F147" s="3" t="n"/>
      <c r="G147" s="3" t="n"/>
      <c r="H147" s="4" t="n"/>
      <c r="L147" s="2" t="n"/>
      <c r="N147" s="2" t="n"/>
    </row>
    <row r="148">
      <c r="D148" s="2" t="n"/>
      <c r="E148" s="3" t="n"/>
      <c r="F148" s="3" t="n"/>
      <c r="G148" s="3" t="n"/>
      <c r="H148" s="4" t="n"/>
      <c r="L148" s="2" t="n"/>
      <c r="N148" s="2" t="n"/>
    </row>
    <row r="149">
      <c r="D149" s="2" t="n"/>
      <c r="E149" s="3" t="n"/>
      <c r="F149" s="3" t="n"/>
      <c r="G149" s="3" t="n"/>
      <c r="H149" s="4" t="n"/>
      <c r="L149" s="2" t="n"/>
      <c r="N149" s="2" t="n"/>
    </row>
    <row r="150">
      <c r="D150" s="2" t="n"/>
      <c r="E150" s="3" t="n"/>
      <c r="F150" s="3" t="n"/>
      <c r="G150" s="3" t="n"/>
      <c r="H150" s="4" t="n"/>
      <c r="L150" s="2" t="n"/>
      <c r="N150" s="2" t="n"/>
    </row>
    <row r="151">
      <c r="D151" s="2" t="n"/>
      <c r="E151" s="3" t="n"/>
      <c r="F151" s="3" t="n"/>
      <c r="G151" s="3" t="n"/>
      <c r="H151" s="4" t="n"/>
      <c r="L151" s="2" t="n"/>
      <c r="N151" s="2" t="n"/>
    </row>
    <row r="152">
      <c r="D152" s="2" t="n"/>
      <c r="E152" s="3" t="n"/>
      <c r="F152" s="3" t="n"/>
      <c r="G152" s="3" t="n"/>
      <c r="H152" s="4" t="n"/>
      <c r="L152" s="2" t="n"/>
      <c r="N152" s="2" t="n"/>
    </row>
    <row r="153">
      <c r="D153" s="2" t="n"/>
      <c r="E153" s="3" t="n"/>
      <c r="F153" s="3" t="n"/>
      <c r="G153" s="3" t="n"/>
      <c r="H153" s="4" t="n"/>
      <c r="L153" s="2" t="n"/>
      <c r="N153" s="2" t="n"/>
    </row>
    <row r="154">
      <c r="D154" s="2" t="n"/>
      <c r="E154" s="3" t="n"/>
      <c r="F154" s="3" t="n"/>
      <c r="G154" s="3" t="n"/>
      <c r="H154" s="4" t="n"/>
      <c r="L154" s="2" t="n"/>
      <c r="N154" s="2" t="n"/>
    </row>
    <row r="155">
      <c r="D155" s="2" t="n"/>
      <c r="E155" s="3" t="n"/>
      <c r="F155" s="3" t="n"/>
      <c r="G155" s="3" t="n"/>
      <c r="H155" s="4" t="n"/>
      <c r="L155" s="2" t="n"/>
      <c r="N155" s="2" t="n"/>
    </row>
    <row r="156">
      <c r="D156" s="2" t="n"/>
      <c r="E156" s="3" t="n"/>
      <c r="F156" s="3" t="n"/>
      <c r="G156" s="3" t="n"/>
      <c r="H156" s="4" t="n"/>
      <c r="L156" s="2" t="n"/>
      <c r="N156" s="2" t="n"/>
    </row>
    <row r="157">
      <c r="D157" s="2" t="n"/>
      <c r="E157" s="3" t="n"/>
      <c r="F157" s="3" t="n"/>
      <c r="G157" s="3" t="n"/>
      <c r="H157" s="4" t="n"/>
      <c r="L157" s="2" t="n"/>
      <c r="N157" s="2" t="n"/>
    </row>
    <row r="158">
      <c r="D158" s="2" t="n"/>
      <c r="E158" s="3" t="n"/>
      <c r="F158" s="3" t="n"/>
      <c r="G158" s="3" t="n"/>
      <c r="H158" s="4" t="n"/>
      <c r="L158" s="2" t="n"/>
      <c r="N158" s="2" t="n"/>
    </row>
    <row r="159">
      <c r="D159" s="2" t="n"/>
      <c r="E159" s="3" t="n"/>
      <c r="F159" s="3" t="n"/>
      <c r="G159" s="3" t="n"/>
      <c r="H159" s="4" t="n"/>
      <c r="L159" s="2" t="n"/>
      <c r="N159" s="2" t="n"/>
    </row>
    <row r="160">
      <c r="D160" s="2" t="n"/>
      <c r="E160" s="3" t="n"/>
      <c r="F160" s="3" t="n"/>
      <c r="G160" s="3" t="n"/>
      <c r="H160" s="4" t="n"/>
      <c r="L160" s="2" t="n"/>
      <c r="N160" s="2" t="n"/>
    </row>
    <row r="161">
      <c r="D161" s="2" t="n"/>
      <c r="E161" s="3" t="n"/>
      <c r="F161" s="3" t="n"/>
      <c r="G161" s="3" t="n"/>
      <c r="H161" s="4" t="n"/>
      <c r="L161" s="2" t="n"/>
      <c r="N161" s="2" t="n"/>
    </row>
    <row r="162">
      <c r="D162" s="2" t="n"/>
      <c r="E162" s="3" t="n"/>
      <c r="F162" s="3" t="n"/>
      <c r="G162" s="3" t="n"/>
      <c r="H162" s="4" t="n"/>
      <c r="L162" s="2" t="n"/>
      <c r="N162" s="2" t="n"/>
    </row>
    <row r="163">
      <c r="D163" s="2" t="n"/>
      <c r="E163" s="3" t="n"/>
      <c r="F163" s="3" t="n"/>
      <c r="G163" s="3" t="n"/>
      <c r="H163" s="4" t="n"/>
      <c r="L163" s="2" t="n"/>
      <c r="N163" s="2" t="n"/>
    </row>
    <row r="164">
      <c r="D164" s="2" t="n"/>
      <c r="E164" s="3" t="n"/>
      <c r="F164" s="3" t="n"/>
      <c r="G164" s="3" t="n"/>
      <c r="H164" s="4" t="n"/>
      <c r="L164" s="2" t="n"/>
      <c r="N164" s="2" t="n"/>
    </row>
    <row r="165">
      <c r="D165" s="2" t="n"/>
      <c r="E165" s="3" t="n"/>
      <c r="F165" s="3" t="n"/>
      <c r="G165" s="3" t="n"/>
      <c r="H165" s="4" t="n"/>
      <c r="L165" s="2" t="n"/>
      <c r="N165" s="2" t="n"/>
    </row>
    <row r="166">
      <c r="D166" s="2" t="n"/>
      <c r="E166" s="3" t="n"/>
      <c r="F166" s="3" t="n"/>
      <c r="G166" s="3" t="n"/>
      <c r="H166" s="4" t="n"/>
      <c r="L166" s="2" t="n"/>
      <c r="N166" s="2" t="n"/>
    </row>
    <row r="167">
      <c r="D167" s="2" t="n"/>
      <c r="E167" s="3" t="n"/>
      <c r="F167" s="3" t="n"/>
      <c r="G167" s="3" t="n"/>
      <c r="H167" s="4" t="n"/>
      <c r="L167" s="2" t="n"/>
      <c r="N167" s="2" t="n"/>
    </row>
    <row r="168">
      <c r="D168" s="2" t="n"/>
      <c r="E168" s="3" t="n"/>
      <c r="F168" s="3" t="n"/>
      <c r="G168" s="3" t="n"/>
      <c r="H168" s="4" t="n"/>
      <c r="L168" s="2" t="n"/>
      <c r="N168" s="2" t="n"/>
    </row>
    <row r="169">
      <c r="D169" s="2" t="n"/>
      <c r="E169" s="3" t="n"/>
      <c r="F169" s="3" t="n"/>
      <c r="G169" s="3" t="n"/>
      <c r="H169" s="4" t="n"/>
      <c r="L169" s="2" t="n"/>
      <c r="N169" s="2" t="n"/>
    </row>
    <row r="170">
      <c r="D170" s="2" t="n"/>
      <c r="E170" s="3" t="n"/>
      <c r="F170" s="3" t="n"/>
      <c r="G170" s="3" t="n"/>
      <c r="H170" s="4" t="n"/>
      <c r="L170" s="2" t="n"/>
      <c r="N170" s="2" t="n"/>
    </row>
    <row r="171">
      <c r="D171" s="2" t="n"/>
      <c r="E171" s="3" t="n"/>
      <c r="F171" s="3" t="n"/>
      <c r="G171" s="3" t="n"/>
      <c r="H171" s="4" t="n"/>
      <c r="L171" s="2" t="n"/>
      <c r="N171" s="2" t="n"/>
    </row>
    <row r="172">
      <c r="D172" s="2" t="n"/>
      <c r="E172" s="3" t="n"/>
      <c r="F172" s="3" t="n"/>
      <c r="G172" s="3" t="n"/>
      <c r="H172" s="4" t="n"/>
      <c r="L172" s="2" t="n"/>
      <c r="N172" s="2" t="n"/>
    </row>
    <row r="173">
      <c r="D173" s="2" t="n"/>
      <c r="E173" s="3" t="n"/>
      <c r="F173" s="3" t="n"/>
      <c r="G173" s="3" t="n"/>
      <c r="H173" s="4" t="n"/>
      <c r="L173" s="2" t="n"/>
      <c r="N173" s="2" t="n"/>
    </row>
    <row r="174">
      <c r="D174" s="2" t="n"/>
      <c r="E174" s="3" t="n"/>
      <c r="F174" s="3" t="n"/>
      <c r="G174" s="3" t="n"/>
      <c r="H174" s="4" t="n"/>
      <c r="L174" s="2" t="n"/>
      <c r="N174" s="2" t="n"/>
    </row>
    <row r="175">
      <c r="D175" s="2" t="n"/>
      <c r="E175" s="3" t="n"/>
      <c r="F175" s="3" t="n"/>
      <c r="G175" s="3" t="n"/>
      <c r="H175" s="4" t="n"/>
      <c r="L175" s="2" t="n"/>
      <c r="N175" s="2" t="n"/>
    </row>
    <row r="176">
      <c r="D176" s="2" t="n"/>
      <c r="E176" s="3" t="n"/>
      <c r="F176" s="3" t="n"/>
      <c r="G176" s="3" t="n"/>
      <c r="H176" s="4" t="n"/>
      <c r="L176" s="2" t="n"/>
      <c r="N176" s="2" t="n"/>
    </row>
    <row r="177">
      <c r="D177" s="2" t="n"/>
      <c r="E177" s="3" t="n"/>
      <c r="F177" s="3" t="n"/>
      <c r="G177" s="3" t="n"/>
      <c r="H177" s="4" t="n"/>
      <c r="L177" s="2" t="n"/>
      <c r="N177" s="2" t="n"/>
    </row>
    <row r="178">
      <c r="D178" s="2" t="n"/>
      <c r="E178" s="3" t="n"/>
      <c r="F178" s="3" t="n"/>
      <c r="G178" s="3" t="n"/>
      <c r="H178" s="4" t="n"/>
      <c r="L178" s="2" t="n"/>
      <c r="N178" s="2" t="n"/>
    </row>
    <row r="179">
      <c r="D179" s="2" t="n"/>
      <c r="E179" s="3" t="n"/>
      <c r="F179" s="3" t="n"/>
      <c r="G179" s="3" t="n"/>
      <c r="H179" s="4" t="n"/>
      <c r="L179" s="2" t="n"/>
      <c r="N179" s="2" t="n"/>
    </row>
    <row r="180">
      <c r="D180" s="2" t="n"/>
      <c r="E180" s="3" t="n"/>
      <c r="F180" s="3" t="n"/>
      <c r="G180" s="3" t="n"/>
      <c r="H180" s="4" t="n"/>
      <c r="L180" s="2" t="n"/>
      <c r="N180" s="2" t="n"/>
    </row>
    <row r="181">
      <c r="D181" s="2" t="n"/>
      <c r="E181" s="3" t="n"/>
      <c r="F181" s="3" t="n"/>
      <c r="G181" s="3" t="n"/>
      <c r="H181" s="4" t="n"/>
      <c r="L181" s="2" t="n"/>
      <c r="N181" s="2" t="n"/>
    </row>
    <row r="182">
      <c r="D182" s="2" t="n"/>
      <c r="E182" s="3" t="n"/>
      <c r="F182" s="3" t="n"/>
      <c r="G182" s="3" t="n"/>
      <c r="H182" s="4" t="n"/>
      <c r="L182" s="2" t="n"/>
      <c r="N182" s="2" t="n"/>
    </row>
    <row r="183">
      <c r="D183" s="2" t="n"/>
      <c r="E183" s="3" t="n"/>
      <c r="F183" s="3" t="n"/>
      <c r="G183" s="3" t="n"/>
      <c r="H183" s="4" t="n"/>
      <c r="L183" s="2" t="n"/>
      <c r="N183" s="2" t="n"/>
    </row>
    <row r="184">
      <c r="D184" s="2" t="n"/>
      <c r="E184" s="3" t="n"/>
      <c r="F184" s="3" t="n"/>
      <c r="G184" s="3" t="n"/>
      <c r="H184" s="4" t="n"/>
      <c r="L184" s="2" t="n"/>
      <c r="N184" s="2" t="n"/>
    </row>
    <row r="185">
      <c r="D185" s="2" t="n"/>
      <c r="E185" s="3" t="n"/>
      <c r="F185" s="3" t="n"/>
      <c r="G185" s="3" t="n"/>
      <c r="H185" s="4" t="n"/>
      <c r="L185" s="2" t="n"/>
      <c r="N185" s="2" t="n"/>
    </row>
    <row r="186">
      <c r="D186" s="2" t="n"/>
      <c r="E186" s="3" t="n"/>
      <c r="F186" s="3" t="n"/>
      <c r="G186" s="3" t="n"/>
      <c r="H186" s="4" t="n"/>
      <c r="L186" s="2" t="n"/>
      <c r="N186" s="2" t="n"/>
    </row>
    <row r="187">
      <c r="D187" s="2" t="n"/>
      <c r="E187" s="3" t="n"/>
      <c r="F187" s="3" t="n"/>
      <c r="G187" s="3" t="n"/>
      <c r="H187" s="4" t="n"/>
      <c r="L187" s="2" t="n"/>
      <c r="N187" s="2" t="n"/>
    </row>
    <row r="188">
      <c r="D188" s="2" t="n"/>
      <c r="E188" s="3" t="n"/>
      <c r="F188" s="3" t="n"/>
      <c r="G188" s="3" t="n"/>
      <c r="H188" s="4" t="n"/>
      <c r="L188" s="2" t="n"/>
      <c r="N188" s="2" t="n"/>
    </row>
    <row r="189">
      <c r="D189" s="2" t="n"/>
      <c r="E189" s="3" t="n"/>
      <c r="F189" s="3" t="n"/>
      <c r="G189" s="3" t="n"/>
      <c r="H189" s="4" t="n"/>
      <c r="L189" s="2" t="n"/>
      <c r="N189" s="2" t="n"/>
    </row>
    <row r="190">
      <c r="D190" s="2" t="n"/>
      <c r="E190" s="3" t="n"/>
      <c r="F190" s="3" t="n"/>
      <c r="G190" s="3" t="n"/>
      <c r="H190" s="4" t="n"/>
      <c r="L190" s="2" t="n"/>
      <c r="N190" s="2" t="n"/>
    </row>
    <row r="191">
      <c r="D191" s="2" t="n"/>
      <c r="E191" s="3" t="n"/>
      <c r="F191" s="3" t="n"/>
      <c r="G191" s="3" t="n"/>
      <c r="H191" s="4" t="n"/>
      <c r="L191" s="2" t="n"/>
      <c r="N191" s="2" t="n"/>
    </row>
    <row r="192">
      <c r="D192" s="2" t="n"/>
      <c r="E192" s="3" t="n"/>
      <c r="F192" s="3" t="n"/>
      <c r="G192" s="3" t="n"/>
      <c r="H192" s="4" t="n"/>
      <c r="L192" s="2" t="n"/>
      <c r="N192" s="2" t="n"/>
    </row>
    <row r="193">
      <c r="D193" s="2" t="n"/>
      <c r="E193" s="3" t="n"/>
      <c r="F193" s="3" t="n"/>
      <c r="G193" s="3" t="n"/>
      <c r="H193" s="4" t="n"/>
      <c r="L193" s="2" t="n"/>
      <c r="N193" s="2" t="n"/>
    </row>
    <row r="194">
      <c r="D194" s="2" t="n"/>
      <c r="E194" s="3" t="n"/>
      <c r="F194" s="3" t="n"/>
      <c r="G194" s="3" t="n"/>
      <c r="H194" s="4" t="n"/>
      <c r="L194" s="2" t="n"/>
      <c r="N194" s="2" t="n"/>
    </row>
    <row r="195">
      <c r="D195" s="2" t="n"/>
      <c r="E195" s="3" t="n"/>
      <c r="F195" s="3" t="n"/>
      <c r="G195" s="3" t="n"/>
      <c r="H195" s="4" t="n"/>
      <c r="L195" s="2" t="n"/>
      <c r="N195" s="2" t="n"/>
    </row>
    <row r="196">
      <c r="D196" s="2" t="n"/>
      <c r="E196" s="3" t="n"/>
      <c r="F196" s="3" t="n"/>
      <c r="G196" s="3" t="n"/>
      <c r="H196" s="4" t="n"/>
      <c r="L196" s="2" t="n"/>
      <c r="N196" s="2" t="n"/>
    </row>
    <row r="197">
      <c r="D197" s="2" t="n"/>
      <c r="E197" s="3" t="n"/>
      <c r="F197" s="3" t="n"/>
      <c r="G197" s="3" t="n"/>
      <c r="H197" s="4" t="n"/>
      <c r="L197" s="2" t="n"/>
      <c r="N197" s="2" t="n"/>
    </row>
    <row r="198">
      <c r="D198" s="2" t="n"/>
      <c r="E198" s="3" t="n"/>
      <c r="F198" s="3" t="n"/>
      <c r="G198" s="3" t="n"/>
      <c r="H198" s="4" t="n"/>
      <c r="L198" s="2" t="n"/>
      <c r="N198" s="2" t="n"/>
    </row>
    <row r="199">
      <c r="D199" s="2" t="n"/>
      <c r="E199" s="3" t="n"/>
      <c r="F199" s="3" t="n"/>
      <c r="G199" s="3" t="n"/>
      <c r="H199" s="4" t="n"/>
      <c r="L199" s="2" t="n"/>
      <c r="N199" s="2" t="n"/>
    </row>
    <row r="200">
      <c r="D200" s="2" t="n"/>
      <c r="E200" s="3" t="n"/>
      <c r="F200" s="3" t="n"/>
      <c r="G200" s="3" t="n"/>
      <c r="H200" s="4" t="n"/>
      <c r="L200" s="2" t="n"/>
      <c r="N200" s="2" t="n"/>
    </row>
    <row r="201">
      <c r="D201" s="2" t="n"/>
      <c r="E201" s="3" t="n"/>
      <c r="F201" s="3" t="n"/>
      <c r="G201" s="3" t="n"/>
      <c r="H201" s="4" t="n"/>
      <c r="L201" s="2" t="n"/>
      <c r="N201" s="2" t="n"/>
    </row>
    <row r="202">
      <c r="D202" s="2" t="n"/>
      <c r="E202" s="3" t="n"/>
      <c r="F202" s="3" t="n"/>
      <c r="G202" s="3" t="n"/>
      <c r="H202" s="4" t="n"/>
      <c r="L202" s="2" t="n"/>
      <c r="N202" s="2" t="n"/>
    </row>
    <row r="203">
      <c r="D203" s="2" t="n"/>
      <c r="E203" s="3" t="n"/>
      <c r="F203" s="3" t="n"/>
      <c r="G203" s="3" t="n"/>
      <c r="H203" s="4" t="n"/>
      <c r="L203" s="2" t="n"/>
      <c r="N203" s="2" t="n"/>
    </row>
    <row r="204">
      <c r="D204" s="2" t="n"/>
      <c r="E204" s="3" t="n"/>
      <c r="F204" s="3" t="n"/>
      <c r="G204" s="3" t="n"/>
      <c r="H204" s="4" t="n"/>
      <c r="L204" s="2" t="n"/>
      <c r="N204" s="2" t="n"/>
    </row>
    <row r="205">
      <c r="D205" s="2" t="n"/>
      <c r="E205" s="3" t="n"/>
      <c r="F205" s="3" t="n"/>
      <c r="G205" s="3" t="n"/>
      <c r="H205" s="4" t="n"/>
      <c r="L205" s="2" t="n"/>
      <c r="N205" s="2" t="n"/>
    </row>
    <row r="206">
      <c r="D206" s="2" t="n"/>
      <c r="E206" s="3" t="n"/>
      <c r="F206" s="3" t="n"/>
      <c r="G206" s="3" t="n"/>
      <c r="H206" s="4" t="n"/>
      <c r="L206" s="2" t="n"/>
      <c r="N206" s="2" t="n"/>
    </row>
    <row r="207">
      <c r="D207" s="2" t="n"/>
      <c r="E207" s="3" t="n"/>
      <c r="F207" s="3" t="n"/>
      <c r="G207" s="3" t="n"/>
      <c r="H207" s="4" t="n"/>
      <c r="L207" s="2" t="n"/>
      <c r="N207" s="2" t="n"/>
    </row>
    <row r="208">
      <c r="D208" s="2" t="n"/>
      <c r="E208" s="3" t="n"/>
      <c r="F208" s="3" t="n"/>
      <c r="G208" s="3" t="n"/>
      <c r="H208" s="4" t="n"/>
      <c r="L208" s="2" t="n"/>
      <c r="N208" s="2" t="n"/>
    </row>
    <row r="209">
      <c r="D209" s="2" t="n"/>
      <c r="E209" s="3" t="n"/>
      <c r="F209" s="3" t="n"/>
      <c r="G209" s="3" t="n"/>
      <c r="H209" s="4" t="n"/>
      <c r="L209" s="2" t="n"/>
      <c r="N209" s="2" t="n"/>
    </row>
    <row r="210">
      <c r="D210" s="2" t="n"/>
      <c r="E210" s="3" t="n"/>
      <c r="F210" s="3" t="n"/>
      <c r="G210" s="3" t="n"/>
      <c r="H210" s="4" t="n"/>
      <c r="L210" s="2" t="n"/>
      <c r="N210" s="2" t="n"/>
    </row>
    <row r="211">
      <c r="D211" s="2" t="n"/>
      <c r="E211" s="3" t="n"/>
      <c r="F211" s="3" t="n"/>
      <c r="G211" s="3" t="n"/>
      <c r="H211" s="4" t="n"/>
      <c r="L211" s="2" t="n"/>
      <c r="N211" s="2" t="n"/>
    </row>
    <row r="212">
      <c r="D212" s="2" t="n"/>
      <c r="E212" s="3" t="n"/>
      <c r="F212" s="3" t="n"/>
      <c r="G212" s="3" t="n"/>
      <c r="H212" s="4" t="n"/>
      <c r="L212" s="2" t="n"/>
      <c r="N212" s="2" t="n"/>
    </row>
    <row r="213">
      <c r="D213" s="2" t="n"/>
      <c r="E213" s="3" t="n"/>
      <c r="F213" s="3" t="n"/>
      <c r="G213" s="3" t="n"/>
      <c r="H213" s="4" t="n"/>
      <c r="L213" s="2" t="n"/>
      <c r="N213" s="2" t="n"/>
    </row>
    <row r="214">
      <c r="D214" s="2" t="n"/>
      <c r="E214" s="3" t="n"/>
      <c r="F214" s="3" t="n"/>
      <c r="G214" s="3" t="n"/>
      <c r="H214" s="4" t="n"/>
      <c r="L214" s="2" t="n"/>
      <c r="N214" s="2" t="n"/>
    </row>
    <row r="215">
      <c r="D215" s="2" t="n"/>
      <c r="E215" s="3" t="n"/>
      <c r="F215" s="3" t="n"/>
      <c r="G215" s="3" t="n"/>
      <c r="H215" s="4" t="n"/>
      <c r="L215" s="2" t="n"/>
      <c r="N215" s="2" t="n"/>
    </row>
    <row r="216">
      <c r="D216" s="2" t="n"/>
      <c r="E216" s="3" t="n"/>
      <c r="F216" s="3" t="n"/>
      <c r="G216" s="3" t="n"/>
      <c r="H216" s="4" t="n"/>
      <c r="L216" s="2" t="n"/>
      <c r="N216" s="2" t="n"/>
    </row>
    <row r="217">
      <c r="D217" s="2" t="n"/>
      <c r="E217" s="3" t="n"/>
      <c r="F217" s="3" t="n"/>
      <c r="G217" s="3" t="n"/>
      <c r="H217" s="4" t="n"/>
      <c r="L217" s="2" t="n"/>
      <c r="N217" s="2" t="n"/>
    </row>
    <row r="218">
      <c r="D218" s="2" t="n"/>
      <c r="E218" s="3" t="n"/>
      <c r="F218" s="3" t="n"/>
      <c r="G218" s="3" t="n"/>
      <c r="H218" s="4" t="n"/>
      <c r="L218" s="2" t="n"/>
      <c r="N218" s="2" t="n"/>
    </row>
    <row r="219">
      <c r="D219" s="2" t="n"/>
      <c r="E219" s="3" t="n"/>
      <c r="F219" s="3" t="n"/>
      <c r="G219" s="3" t="n"/>
      <c r="H219" s="4" t="n"/>
      <c r="L219" s="2" t="n"/>
      <c r="N219" s="2" t="n"/>
    </row>
    <row r="220">
      <c r="D220" s="2" t="n"/>
      <c r="E220" s="3" t="n"/>
      <c r="F220" s="3" t="n"/>
      <c r="G220" s="3" t="n"/>
      <c r="H220" s="4" t="n"/>
      <c r="L220" s="2" t="n"/>
      <c r="N220" s="2" t="n"/>
    </row>
    <row r="221">
      <c r="D221" s="2" t="n"/>
      <c r="E221" s="3" t="n"/>
      <c r="F221" s="3" t="n"/>
      <c r="G221" s="3" t="n"/>
      <c r="H221" s="4" t="n"/>
      <c r="L221" s="2" t="n"/>
      <c r="N221" s="2" t="n"/>
    </row>
    <row r="222">
      <c r="D222" s="2" t="n"/>
      <c r="E222" s="3" t="n"/>
      <c r="F222" s="3" t="n"/>
      <c r="G222" s="3" t="n"/>
      <c r="H222" s="4" t="n"/>
      <c r="L222" s="2" t="n"/>
      <c r="N222" s="2" t="n"/>
    </row>
    <row r="223">
      <c r="D223" s="2" t="n"/>
      <c r="E223" s="3" t="n"/>
      <c r="F223" s="3" t="n"/>
      <c r="G223" s="3" t="n"/>
      <c r="H223" s="4" t="n"/>
      <c r="L223" s="2" t="n"/>
      <c r="N223" s="2" t="n"/>
    </row>
    <row r="224">
      <c r="D224" s="2" t="n"/>
      <c r="E224" s="3" t="n"/>
      <c r="F224" s="3" t="n"/>
      <c r="G224" s="3" t="n"/>
      <c r="H224" s="4" t="n"/>
      <c r="L224" s="2" t="n"/>
      <c r="N224" s="2" t="n"/>
    </row>
    <row r="225">
      <c r="D225" s="2" t="n"/>
      <c r="E225" s="3" t="n"/>
      <c r="F225" s="3" t="n"/>
      <c r="G225" s="3" t="n"/>
      <c r="H225" s="4" t="n"/>
      <c r="L225" s="2" t="n"/>
      <c r="N225" s="2" t="n"/>
    </row>
    <row r="226">
      <c r="D226" s="2" t="n"/>
      <c r="E226" s="3" t="n"/>
      <c r="F226" s="3" t="n"/>
      <c r="G226" s="3" t="n"/>
      <c r="H226" s="4" t="n"/>
      <c r="L226" s="2" t="n"/>
      <c r="N226" s="2" t="n"/>
    </row>
    <row r="227">
      <c r="D227" s="2" t="n"/>
      <c r="E227" s="3" t="n"/>
      <c r="F227" s="3" t="n"/>
      <c r="G227" s="3" t="n"/>
      <c r="H227" s="4" t="n"/>
      <c r="L227" s="2" t="n"/>
      <c r="N227" s="2" t="n"/>
    </row>
    <row r="228">
      <c r="D228" s="2" t="n"/>
      <c r="E228" s="3" t="n"/>
      <c r="F228" s="3" t="n"/>
      <c r="G228" s="3" t="n"/>
      <c r="H228" s="4" t="n"/>
      <c r="L228" s="2" t="n"/>
      <c r="N228" s="2" t="n"/>
    </row>
    <row r="229">
      <c r="D229" s="2" t="n"/>
      <c r="E229" s="3" t="n"/>
      <c r="F229" s="3" t="n"/>
      <c r="G229" s="3" t="n"/>
      <c r="H229" s="4" t="n"/>
      <c r="L229" s="2" t="n"/>
      <c r="N229" s="2" t="n"/>
    </row>
    <row r="230">
      <c r="D230" s="2" t="n"/>
      <c r="E230" s="3" t="n"/>
      <c r="F230" s="3" t="n"/>
      <c r="G230" s="3" t="n"/>
      <c r="H230" s="4" t="n"/>
      <c r="L230" s="2" t="n"/>
      <c r="N230" s="2" t="n"/>
    </row>
    <row r="231">
      <c r="D231" s="2" t="n"/>
      <c r="E231" s="3" t="n"/>
      <c r="F231" s="3" t="n"/>
      <c r="G231" s="3" t="n"/>
      <c r="H231" s="4" t="n"/>
      <c r="L231" s="2" t="n"/>
      <c r="N231" s="2" t="n"/>
    </row>
    <row r="232">
      <c r="D232" s="2" t="n"/>
      <c r="E232" s="3" t="n"/>
      <c r="F232" s="3" t="n"/>
      <c r="G232" s="3" t="n"/>
      <c r="H232" s="4" t="n"/>
      <c r="L232" s="2" t="n"/>
      <c r="N232" s="2" t="n"/>
    </row>
    <row r="233">
      <c r="D233" s="2" t="n"/>
      <c r="E233" s="3" t="n"/>
      <c r="F233" s="3" t="n"/>
      <c r="G233" s="3" t="n"/>
      <c r="H233" s="4" t="n"/>
      <c r="L233" s="2" t="n"/>
      <c r="N233" s="2" t="n"/>
    </row>
    <row r="234">
      <c r="D234" s="2" t="n"/>
      <c r="E234" s="3" t="n"/>
      <c r="F234" s="3" t="n"/>
      <c r="G234" s="3" t="n"/>
      <c r="H234" s="4" t="n"/>
      <c r="L234" s="2" t="n"/>
      <c r="N234" s="2" t="n"/>
    </row>
    <row r="235">
      <c r="D235" s="2" t="n"/>
      <c r="E235" s="3" t="n"/>
      <c r="F235" s="3" t="n"/>
      <c r="G235" s="3" t="n"/>
      <c r="H235" s="4" t="n"/>
      <c r="L235" s="2" t="n"/>
      <c r="N235" s="2" t="n"/>
    </row>
    <row r="236">
      <c r="D236" s="2" t="n"/>
      <c r="E236" s="3" t="n"/>
      <c r="F236" s="3" t="n"/>
      <c r="G236" s="3" t="n"/>
      <c r="H236" s="4" t="n"/>
      <c r="L236" s="2" t="n"/>
      <c r="N236" s="2" t="n"/>
    </row>
    <row r="237">
      <c r="D237" s="2" t="n"/>
      <c r="E237" s="3" t="n"/>
      <c r="F237" s="3" t="n"/>
      <c r="G237" s="3" t="n"/>
      <c r="H237" s="4" t="n"/>
      <c r="L237" s="2" t="n"/>
      <c r="N237" s="2" t="n"/>
    </row>
    <row r="238">
      <c r="D238" s="2" t="n"/>
      <c r="E238" s="3" t="n"/>
      <c r="F238" s="3" t="n"/>
      <c r="G238" s="3" t="n"/>
      <c r="H238" s="4" t="n"/>
      <c r="L238" s="2" t="n"/>
      <c r="N238" s="2" t="n"/>
    </row>
    <row r="239">
      <c r="D239" s="2" t="n"/>
      <c r="E239" s="3" t="n"/>
      <c r="F239" s="3" t="n"/>
      <c r="G239" s="3" t="n"/>
      <c r="H239" s="4" t="n"/>
      <c r="L239" s="2" t="n"/>
      <c r="N239" s="2" t="n"/>
    </row>
    <row r="240">
      <c r="D240" s="2" t="n"/>
      <c r="E240" s="3" t="n"/>
      <c r="F240" s="3" t="n"/>
      <c r="G240" s="3" t="n"/>
      <c r="H240" s="4" t="n"/>
      <c r="L240" s="2" t="n"/>
      <c r="N240" s="2" t="n"/>
    </row>
    <row r="241">
      <c r="D241" s="2" t="n"/>
      <c r="E241" s="3" t="n"/>
      <c r="F241" s="3" t="n"/>
      <c r="G241" s="3" t="n"/>
      <c r="H241" s="4" t="n"/>
      <c r="L241" s="2" t="n"/>
      <c r="N241" s="2" t="n"/>
    </row>
    <row r="242">
      <c r="D242" s="2" t="n"/>
      <c r="E242" s="3" t="n"/>
      <c r="F242" s="3" t="n"/>
      <c r="G242" s="3" t="n"/>
      <c r="H242" s="4" t="n"/>
      <c r="L242" s="2" t="n"/>
      <c r="N242" s="2" t="n"/>
    </row>
    <row r="243">
      <c r="D243" s="2" t="n"/>
      <c r="E243" s="3" t="n"/>
      <c r="F243" s="3" t="n"/>
      <c r="G243" s="3" t="n"/>
      <c r="H243" s="4" t="n"/>
      <c r="L243" s="2" t="n"/>
      <c r="N243" s="2" t="n"/>
    </row>
    <row r="244">
      <c r="D244" s="2" t="n"/>
      <c r="E244" s="3" t="n"/>
      <c r="F244" s="3" t="n"/>
      <c r="G244" s="3" t="n"/>
      <c r="H244" s="4" t="n"/>
      <c r="L244" s="2" t="n"/>
      <c r="N244" s="2" t="n"/>
    </row>
    <row r="245">
      <c r="D245" s="2" t="n"/>
      <c r="E245" s="3" t="n"/>
      <c r="F245" s="3" t="n"/>
      <c r="G245" s="3" t="n"/>
      <c r="H245" s="4" t="n"/>
      <c r="L245" s="2" t="n"/>
      <c r="N245" s="2" t="n"/>
    </row>
    <row r="246">
      <c r="D246" s="2" t="n"/>
      <c r="E246" s="3" t="n"/>
      <c r="F246" s="3" t="n"/>
      <c r="G246" s="3" t="n"/>
      <c r="H246" s="4" t="n"/>
      <c r="L246" s="2" t="n"/>
      <c r="N246" s="2" t="n"/>
    </row>
    <row r="247">
      <c r="D247" s="2" t="n"/>
      <c r="E247" s="3" t="n"/>
      <c r="F247" s="3" t="n"/>
      <c r="G247" s="3" t="n"/>
      <c r="H247" s="4" t="n"/>
      <c r="L247" s="2" t="n"/>
      <c r="N247" s="2" t="n"/>
    </row>
    <row r="248">
      <c r="D248" s="2" t="n"/>
      <c r="E248" s="3" t="n"/>
      <c r="F248" s="3" t="n"/>
      <c r="G248" s="3" t="n"/>
      <c r="H248" s="4" t="n"/>
      <c r="L248" s="2" t="n"/>
      <c r="N248" s="2" t="n"/>
    </row>
    <row r="249">
      <c r="D249" s="2" t="n"/>
      <c r="E249" s="3" t="n"/>
      <c r="F249" s="3" t="n"/>
      <c r="G249" s="3" t="n"/>
      <c r="H249" s="4" t="n"/>
      <c r="L249" s="2" t="n"/>
      <c r="N249" s="2" t="n"/>
    </row>
    <row r="250">
      <c r="D250" s="2" t="n"/>
      <c r="E250" s="3" t="n"/>
      <c r="F250" s="3" t="n"/>
      <c r="G250" s="3" t="n"/>
      <c r="H250" s="4" t="n"/>
      <c r="L250" s="2" t="n"/>
      <c r="N250" s="2" t="n"/>
    </row>
    <row r="251">
      <c r="D251" s="2" t="n"/>
      <c r="E251" s="3" t="n"/>
      <c r="F251" s="3" t="n"/>
      <c r="G251" s="3" t="n"/>
      <c r="H251" s="4" t="n"/>
      <c r="L251" s="2" t="n"/>
      <c r="N251" s="2" t="n"/>
    </row>
    <row r="252">
      <c r="D252" s="2" t="n"/>
      <c r="E252" s="3" t="n"/>
      <c r="F252" s="3" t="n"/>
      <c r="G252" s="3" t="n"/>
      <c r="H252" s="4" t="n"/>
      <c r="L252" s="2" t="n"/>
      <c r="N252" s="2" t="n"/>
    </row>
    <row r="253">
      <c r="D253" s="2" t="n"/>
      <c r="E253" s="3" t="n"/>
      <c r="F253" s="3" t="n"/>
      <c r="G253" s="3" t="n"/>
      <c r="H253" s="4" t="n"/>
      <c r="L253" s="2" t="n"/>
      <c r="N253" s="2" t="n"/>
    </row>
    <row r="254">
      <c r="D254" s="2" t="n"/>
      <c r="E254" s="3" t="n"/>
      <c r="F254" s="3" t="n"/>
      <c r="G254" s="3" t="n"/>
      <c r="H254" s="4" t="n"/>
      <c r="L254" s="2" t="n"/>
      <c r="N254" s="2" t="n"/>
    </row>
    <row r="255">
      <c r="D255" s="2" t="n"/>
      <c r="E255" s="3" t="n"/>
      <c r="F255" s="3" t="n"/>
      <c r="G255" s="3" t="n"/>
      <c r="H255" s="4" t="n"/>
      <c r="L255" s="2" t="n"/>
      <c r="N255" s="2" t="n"/>
    </row>
    <row r="256">
      <c r="D256" s="2" t="n"/>
      <c r="E256" s="3" t="n"/>
      <c r="F256" s="3" t="n"/>
      <c r="G256" s="3" t="n"/>
      <c r="H256" s="4" t="n"/>
      <c r="L256" s="2" t="n"/>
      <c r="N256" s="2" t="n"/>
    </row>
    <row r="257">
      <c r="D257" s="2" t="n"/>
      <c r="E257" s="3" t="n"/>
      <c r="F257" s="3" t="n"/>
      <c r="G257" s="3" t="n"/>
      <c r="H257" s="4" t="n"/>
      <c r="L257" s="2" t="n"/>
      <c r="N257" s="2" t="n"/>
    </row>
    <row r="258">
      <c r="D258" s="2" t="n"/>
      <c r="E258" s="3" t="n"/>
      <c r="F258" s="3" t="n"/>
      <c r="G258" s="3" t="n"/>
      <c r="H258" s="4" t="n"/>
      <c r="L258" s="2" t="n"/>
      <c r="N258" s="2" t="n"/>
    </row>
    <row r="259">
      <c r="D259" s="2" t="n"/>
      <c r="E259" s="3" t="n"/>
      <c r="F259" s="3" t="n"/>
      <c r="G259" s="3" t="n"/>
      <c r="H259" s="4" t="n"/>
      <c r="L259" s="2" t="n"/>
      <c r="N259" s="2" t="n"/>
    </row>
    <row r="260">
      <c r="D260" s="2" t="n"/>
      <c r="E260" s="3" t="n"/>
      <c r="F260" s="3" t="n"/>
      <c r="G260" s="3" t="n"/>
      <c r="H260" s="4" t="n"/>
      <c r="L260" s="2" t="n"/>
      <c r="N260" s="2" t="n"/>
    </row>
    <row r="261">
      <c r="D261" s="2" t="n"/>
      <c r="E261" s="3" t="n"/>
      <c r="F261" s="3" t="n"/>
      <c r="G261" s="3" t="n"/>
      <c r="H261" s="4" t="n"/>
      <c r="L261" s="2" t="n"/>
      <c r="N261" s="2" t="n"/>
    </row>
    <row r="262">
      <c r="D262" s="2" t="n"/>
      <c r="E262" s="3" t="n"/>
      <c r="F262" s="3" t="n"/>
      <c r="G262" s="3" t="n"/>
      <c r="H262" s="4" t="n"/>
      <c r="L262" s="2" t="n"/>
      <c r="N262" s="2" t="n"/>
    </row>
    <row r="263">
      <c r="D263" s="2" t="n"/>
      <c r="E263" s="3" t="n"/>
      <c r="F263" s="3" t="n"/>
      <c r="G263" s="3" t="n"/>
      <c r="H263" s="4" t="n"/>
      <c r="L263" s="2" t="n"/>
      <c r="N263" s="2" t="n"/>
    </row>
    <row r="264">
      <c r="D264" s="2" t="n"/>
      <c r="E264" s="3" t="n"/>
      <c r="F264" s="3" t="n"/>
      <c r="G264" s="3" t="n"/>
      <c r="H264" s="4" t="n"/>
      <c r="L264" s="2" t="n"/>
      <c r="N264" s="2" t="n"/>
    </row>
    <row r="265">
      <c r="D265" s="2" t="n"/>
      <c r="E265" s="3" t="n"/>
      <c r="F265" s="3" t="n"/>
      <c r="G265" s="3" t="n"/>
      <c r="H265" s="4" t="n"/>
      <c r="L265" s="2" t="n"/>
      <c r="N265" s="2" t="n"/>
    </row>
    <row r="266">
      <c r="D266" s="2" t="n"/>
      <c r="E266" s="3" t="n"/>
      <c r="F266" s="3" t="n"/>
      <c r="G266" s="3" t="n"/>
      <c r="H266" s="4" t="n"/>
      <c r="L266" s="2" t="n"/>
      <c r="N266" s="2" t="n"/>
    </row>
    <row r="267">
      <c r="D267" s="2" t="n"/>
      <c r="E267" s="3" t="n"/>
      <c r="F267" s="3" t="n"/>
      <c r="G267" s="3" t="n"/>
      <c r="H267" s="4" t="n"/>
      <c r="L267" s="2" t="n"/>
      <c r="N267" s="2" t="n"/>
    </row>
    <row r="268">
      <c r="D268" s="2" t="n"/>
      <c r="E268" s="3" t="n"/>
      <c r="F268" s="3" t="n"/>
      <c r="G268" s="3" t="n"/>
      <c r="H268" s="4" t="n"/>
      <c r="L268" s="2" t="n"/>
      <c r="N268" s="2" t="n"/>
    </row>
    <row r="269">
      <c r="D269" s="2" t="n"/>
      <c r="E269" s="3" t="n"/>
      <c r="F269" s="3" t="n"/>
      <c r="G269" s="3" t="n"/>
      <c r="H269" s="4" t="n"/>
      <c r="L269" s="2" t="n"/>
      <c r="N269" s="2" t="n"/>
    </row>
    <row r="270">
      <c r="D270" s="2" t="n"/>
      <c r="E270" s="3" t="n"/>
      <c r="F270" s="3" t="n"/>
      <c r="G270" s="3" t="n"/>
      <c r="H270" s="4" t="n"/>
      <c r="L270" s="2" t="n"/>
      <c r="N270" s="2" t="n"/>
    </row>
    <row r="271">
      <c r="D271" s="2" t="n"/>
      <c r="E271" s="3" t="n"/>
      <c r="F271" s="3" t="n"/>
      <c r="G271" s="3" t="n"/>
      <c r="H271" s="4" t="n"/>
      <c r="L271" s="2" t="n"/>
      <c r="N271" s="2" t="n"/>
    </row>
    <row r="272">
      <c r="D272" s="2" t="n"/>
      <c r="E272" s="3" t="n"/>
      <c r="F272" s="3" t="n"/>
      <c r="G272" s="3" t="n"/>
      <c r="H272" s="4" t="n"/>
      <c r="L272" s="2" t="n"/>
      <c r="N272" s="2" t="n"/>
    </row>
    <row r="273">
      <c r="D273" s="2" t="n"/>
      <c r="E273" s="3" t="n"/>
      <c r="F273" s="3" t="n"/>
      <c r="G273" s="3" t="n"/>
      <c r="H273" s="4" t="n"/>
      <c r="L273" s="2" t="n"/>
      <c r="N273" s="2" t="n"/>
    </row>
    <row r="274">
      <c r="D274" s="2" t="n"/>
      <c r="E274" s="3" t="n"/>
      <c r="F274" s="3" t="n"/>
      <c r="G274" s="3" t="n"/>
      <c r="H274" s="4" t="n"/>
      <c r="L274" s="2" t="n"/>
      <c r="N274" s="2" t="n"/>
    </row>
    <row r="275">
      <c r="D275" s="2" t="n"/>
      <c r="E275" s="3" t="n"/>
      <c r="F275" s="3" t="n"/>
      <c r="G275" s="3" t="n"/>
      <c r="H275" s="4" t="n"/>
      <c r="L275" s="2" t="n"/>
      <c r="N275" s="2" t="n"/>
    </row>
    <row r="276">
      <c r="D276" s="2" t="n"/>
      <c r="E276" s="3" t="n"/>
      <c r="F276" s="3" t="n"/>
      <c r="G276" s="3" t="n"/>
      <c r="H276" s="4" t="n"/>
      <c r="L276" s="2" t="n"/>
      <c r="N276" s="2" t="n"/>
    </row>
    <row r="277">
      <c r="D277" s="2" t="n"/>
      <c r="E277" s="3" t="n"/>
      <c r="F277" s="3" t="n"/>
      <c r="G277" s="3" t="n"/>
      <c r="H277" s="4" t="n"/>
      <c r="L277" s="2" t="n"/>
      <c r="N277" s="2" t="n"/>
    </row>
    <row r="278">
      <c r="D278" s="2" t="n"/>
      <c r="E278" s="3" t="n"/>
      <c r="F278" s="3" t="n"/>
      <c r="G278" s="3" t="n"/>
      <c r="H278" s="4" t="n"/>
      <c r="L278" s="2" t="n"/>
      <c r="N278" s="2" t="n"/>
    </row>
    <row r="279">
      <c r="D279" s="2" t="n"/>
      <c r="E279" s="3" t="n"/>
      <c r="F279" s="3" t="n"/>
      <c r="G279" s="3" t="n"/>
      <c r="H279" s="4" t="n"/>
      <c r="L279" s="2" t="n"/>
      <c r="N279" s="2" t="n"/>
    </row>
    <row r="280">
      <c r="D280" s="2" t="n"/>
      <c r="E280" s="3" t="n"/>
      <c r="F280" s="3" t="n"/>
      <c r="G280" s="3" t="n"/>
      <c r="H280" s="4" t="n"/>
      <c r="L280" s="2" t="n"/>
      <c r="N280" s="2" t="n"/>
    </row>
    <row r="281">
      <c r="D281" s="2" t="n"/>
      <c r="E281" s="3" t="n"/>
      <c r="F281" s="3" t="n"/>
      <c r="G281" s="3" t="n"/>
      <c r="H281" s="4" t="n"/>
      <c r="L281" s="2" t="n"/>
      <c r="N281" s="2" t="n"/>
    </row>
    <row r="282">
      <c r="D282" s="2" t="n"/>
      <c r="E282" s="3" t="n"/>
      <c r="F282" s="3" t="n"/>
      <c r="G282" s="3" t="n"/>
      <c r="H282" s="4" t="n"/>
      <c r="L282" s="2" t="n"/>
      <c r="N282" s="2" t="n"/>
    </row>
    <row r="283">
      <c r="D283" s="2" t="n"/>
      <c r="E283" s="3" t="n"/>
      <c r="F283" s="3" t="n"/>
      <c r="G283" s="3" t="n"/>
      <c r="H283" s="4" t="n"/>
      <c r="L283" s="2" t="n"/>
      <c r="N283" s="2" t="n"/>
    </row>
    <row r="284">
      <c r="D284" s="2" t="n"/>
      <c r="E284" s="3" t="n"/>
      <c r="F284" s="3" t="n"/>
      <c r="G284" s="3" t="n"/>
      <c r="H284" s="4" t="n"/>
      <c r="L284" s="2" t="n"/>
      <c r="N284" s="2" t="n"/>
    </row>
    <row r="285">
      <c r="D285" s="2" t="n"/>
      <c r="E285" s="3" t="n"/>
      <c r="F285" s="3" t="n"/>
      <c r="G285" s="3" t="n"/>
      <c r="H285" s="4" t="n"/>
      <c r="L285" s="2" t="n"/>
      <c r="N285" s="2" t="n"/>
    </row>
    <row r="286">
      <c r="D286" s="2" t="n"/>
      <c r="E286" s="3" t="n"/>
      <c r="F286" s="3" t="n"/>
      <c r="G286" s="3" t="n"/>
      <c r="H286" s="4" t="n"/>
      <c r="L286" s="2" t="n"/>
      <c r="N286" s="2" t="n"/>
    </row>
    <row r="287">
      <c r="D287" s="2" t="n"/>
      <c r="E287" s="3" t="n"/>
      <c r="F287" s="3" t="n"/>
      <c r="G287" s="3" t="n"/>
      <c r="H287" s="4" t="n"/>
      <c r="L287" s="2" t="n"/>
      <c r="N287" s="2" t="n"/>
    </row>
    <row r="288">
      <c r="D288" s="2" t="n"/>
      <c r="E288" s="3" t="n"/>
      <c r="F288" s="3" t="n"/>
      <c r="G288" s="3" t="n"/>
      <c r="H288" s="4" t="n"/>
      <c r="L288" s="2" t="n"/>
      <c r="N288" s="2" t="n"/>
    </row>
    <row r="289">
      <c r="D289" s="2" t="n"/>
      <c r="E289" s="3" t="n"/>
      <c r="F289" s="3" t="n"/>
      <c r="G289" s="3" t="n"/>
      <c r="H289" s="4" t="n"/>
      <c r="L289" s="2" t="n"/>
      <c r="N289" s="2" t="n"/>
    </row>
    <row r="290">
      <c r="D290" s="2" t="n"/>
      <c r="E290" s="3" t="n"/>
      <c r="F290" s="3" t="n"/>
      <c r="G290" s="3" t="n"/>
      <c r="H290" s="4" t="n"/>
      <c r="L290" s="2" t="n"/>
      <c r="N290" s="2" t="n"/>
    </row>
    <row r="291">
      <c r="D291" s="2" t="n"/>
      <c r="E291" s="3" t="n"/>
      <c r="F291" s="3" t="n"/>
      <c r="G291" s="3" t="n"/>
      <c r="H291" s="4" t="n"/>
      <c r="L291" s="2" t="n"/>
      <c r="N291" s="2" t="n"/>
    </row>
    <row r="292">
      <c r="D292" s="2" t="n"/>
      <c r="E292" s="3" t="n"/>
      <c r="F292" s="3" t="n"/>
      <c r="G292" s="3" t="n"/>
      <c r="H292" s="4" t="n"/>
      <c r="L292" s="2" t="n"/>
      <c r="N292" s="2" t="n"/>
    </row>
    <row r="293">
      <c r="D293" s="2" t="n"/>
      <c r="E293" s="3" t="n"/>
      <c r="F293" s="3" t="n"/>
      <c r="G293" s="3" t="n"/>
      <c r="H293" s="4" t="n"/>
      <c r="L293" s="2" t="n"/>
      <c r="N293" s="2" t="n"/>
    </row>
    <row r="294">
      <c r="D294" s="2" t="n"/>
      <c r="E294" s="3" t="n"/>
      <c r="F294" s="3" t="n"/>
      <c r="G294" s="3" t="n"/>
      <c r="H294" s="4" t="n"/>
      <c r="L294" s="2" t="n"/>
      <c r="N294" s="2" t="n"/>
    </row>
    <row r="295">
      <c r="D295" s="2" t="n"/>
      <c r="E295" s="3" t="n"/>
      <c r="F295" s="3" t="n"/>
      <c r="G295" s="3" t="n"/>
      <c r="H295" s="4" t="n"/>
      <c r="L295" s="2" t="n"/>
      <c r="N295" s="2" t="n"/>
    </row>
    <row r="296">
      <c r="D296" s="2" t="n"/>
      <c r="E296" s="3" t="n"/>
      <c r="F296" s="3" t="n"/>
      <c r="G296" s="3" t="n"/>
      <c r="H296" s="4" t="n"/>
      <c r="L296" s="2" t="n"/>
      <c r="N296" s="2" t="n"/>
    </row>
    <row r="297">
      <c r="D297" s="2" t="n"/>
      <c r="E297" s="3" t="n"/>
      <c r="F297" s="3" t="n"/>
      <c r="G297" s="3" t="n"/>
      <c r="H297" s="4" t="n"/>
      <c r="L297" s="2" t="n"/>
      <c r="N297" s="2" t="n"/>
    </row>
    <row r="298">
      <c r="D298" s="2" t="n"/>
      <c r="E298" s="3" t="n"/>
      <c r="F298" s="3" t="n"/>
      <c r="G298" s="3" t="n"/>
      <c r="H298" s="4" t="n"/>
      <c r="L298" s="2" t="n"/>
      <c r="N298" s="2" t="n"/>
    </row>
    <row r="299">
      <c r="D299" s="2" t="n"/>
      <c r="E299" s="3" t="n"/>
      <c r="F299" s="3" t="n"/>
      <c r="G299" s="3" t="n"/>
      <c r="H299" s="4" t="n"/>
      <c r="L299" s="2" t="n"/>
      <c r="N299" s="2" t="n"/>
    </row>
    <row r="300">
      <c r="D300" s="2" t="n"/>
      <c r="E300" s="3" t="n"/>
      <c r="F300" s="3" t="n"/>
      <c r="G300" s="3" t="n"/>
      <c r="H300" s="4" t="n"/>
      <c r="L300" s="2" t="n"/>
      <c r="N300" s="2" t="n"/>
    </row>
    <row r="301">
      <c r="D301" s="2" t="n"/>
      <c r="E301" s="3" t="n"/>
      <c r="F301" s="3" t="n"/>
      <c r="G301" s="3" t="n"/>
      <c r="H301" s="4" t="n"/>
      <c r="L301" s="2" t="n"/>
      <c r="N301" s="2" t="n"/>
    </row>
    <row r="302">
      <c r="D302" s="2" t="n"/>
      <c r="E302" s="3" t="n"/>
      <c r="F302" s="3" t="n"/>
      <c r="G302" s="3" t="n"/>
      <c r="H302" s="4" t="n"/>
      <c r="L302" s="2" t="n"/>
      <c r="N302" s="2" t="n"/>
    </row>
    <row r="303">
      <c r="D303" s="2" t="n"/>
      <c r="E303" s="3" t="n"/>
      <c r="F303" s="3" t="n"/>
      <c r="G303" s="3" t="n"/>
      <c r="H303" s="4" t="n"/>
      <c r="L303" s="2" t="n"/>
      <c r="N303" s="2" t="n"/>
    </row>
    <row r="304">
      <c r="D304" s="2" t="n"/>
      <c r="E304" s="3" t="n"/>
      <c r="F304" s="3" t="n"/>
      <c r="G304" s="3" t="n"/>
      <c r="H304" s="4" t="n"/>
      <c r="L304" s="2" t="n"/>
      <c r="N304" s="2" t="n"/>
    </row>
    <row r="305">
      <c r="D305" s="2" t="n"/>
      <c r="E305" s="3" t="n"/>
      <c r="F305" s="3" t="n"/>
      <c r="G305" s="3" t="n"/>
      <c r="H305" s="4" t="n"/>
      <c r="L305" s="2" t="n"/>
      <c r="N305" s="2" t="n"/>
    </row>
    <row r="306">
      <c r="D306" s="2" t="n"/>
      <c r="E306" s="3" t="n"/>
      <c r="F306" s="3" t="n"/>
      <c r="G306" s="3" t="n"/>
      <c r="H306" s="4" t="n"/>
      <c r="L306" s="2" t="n"/>
      <c r="N306" s="2" t="n"/>
    </row>
    <row r="307">
      <c r="D307" s="2" t="n"/>
      <c r="E307" s="3" t="n"/>
      <c r="F307" s="3" t="n"/>
      <c r="G307" s="3" t="n"/>
      <c r="H307" s="4" t="n"/>
      <c r="L307" s="2" t="n"/>
      <c r="N307" s="2" t="n"/>
    </row>
    <row r="308">
      <c r="D308" s="2" t="n"/>
      <c r="E308" s="3" t="n"/>
      <c r="F308" s="3" t="n"/>
      <c r="G308" s="3" t="n"/>
      <c r="H308" s="4" t="n"/>
      <c r="L308" s="2" t="n"/>
      <c r="N308" s="2" t="n"/>
    </row>
    <row r="309">
      <c r="D309" s="2" t="n"/>
      <c r="E309" s="3" t="n"/>
      <c r="F309" s="3" t="n"/>
      <c r="G309" s="3" t="n"/>
      <c r="H309" s="4" t="n"/>
      <c r="L309" s="2" t="n"/>
      <c r="N309" s="2" t="n"/>
    </row>
    <row r="310">
      <c r="D310" s="2" t="n"/>
      <c r="E310" s="3" t="n"/>
      <c r="F310" s="3" t="n"/>
      <c r="G310" s="3" t="n"/>
      <c r="H310" s="4" t="n"/>
      <c r="L310" s="2" t="n"/>
      <c r="N310" s="2" t="n"/>
    </row>
    <row r="311">
      <c r="D311" s="2" t="n"/>
      <c r="E311" s="3" t="n"/>
      <c r="F311" s="3" t="n"/>
      <c r="G311" s="3" t="n"/>
      <c r="H311" s="4" t="n"/>
      <c r="L311" s="2" t="n"/>
      <c r="N311" s="2" t="n"/>
    </row>
    <row r="312">
      <c r="D312" s="2" t="n"/>
      <c r="E312" s="3" t="n"/>
      <c r="F312" s="3" t="n"/>
      <c r="G312" s="3" t="n"/>
      <c r="H312" s="4" t="n"/>
      <c r="L312" s="2" t="n"/>
      <c r="N312" s="2" t="n"/>
    </row>
    <row r="313">
      <c r="D313" s="2" t="n"/>
      <c r="E313" s="3" t="n"/>
      <c r="F313" s="3" t="n"/>
      <c r="G313" s="3" t="n"/>
      <c r="H313" s="4" t="n"/>
      <c r="L313" s="2" t="n"/>
      <c r="N313" s="2" t="n"/>
    </row>
    <row r="314">
      <c r="D314" s="2" t="n"/>
      <c r="E314" s="3" t="n"/>
      <c r="F314" s="3" t="n"/>
      <c r="G314" s="3" t="n"/>
      <c r="H314" s="4" t="n"/>
      <c r="L314" s="2" t="n"/>
      <c r="N314" s="2" t="n"/>
    </row>
    <row r="315">
      <c r="D315" s="2" t="n"/>
      <c r="E315" s="3" t="n"/>
      <c r="F315" s="3" t="n"/>
      <c r="G315" s="3" t="n"/>
      <c r="H315" s="4" t="n"/>
      <c r="L315" s="2" t="n"/>
      <c r="N315" s="2" t="n"/>
    </row>
    <row r="316">
      <c r="D316" s="2" t="n"/>
      <c r="E316" s="3" t="n"/>
      <c r="F316" s="3" t="n"/>
      <c r="G316" s="3" t="n"/>
      <c r="H316" s="4" t="n"/>
      <c r="L316" s="2" t="n"/>
      <c r="N316" s="2" t="n"/>
    </row>
    <row r="317">
      <c r="D317" s="2" t="n"/>
      <c r="E317" s="3" t="n"/>
      <c r="F317" s="3" t="n"/>
      <c r="G317" s="3" t="n"/>
      <c r="H317" s="4" t="n"/>
      <c r="L317" s="2" t="n"/>
      <c r="N317" s="2" t="n"/>
    </row>
    <row r="318">
      <c r="D318" s="2" t="n"/>
      <c r="E318" s="3" t="n"/>
      <c r="F318" s="3" t="n"/>
      <c r="G318" s="3" t="n"/>
      <c r="H318" s="4" t="n"/>
      <c r="L318" s="2" t="n"/>
      <c r="N318" s="2" t="n"/>
    </row>
    <row r="319">
      <c r="D319" s="2" t="n"/>
      <c r="E319" s="3" t="n"/>
      <c r="F319" s="3" t="n"/>
      <c r="G319" s="3" t="n"/>
      <c r="H319" s="4" t="n"/>
      <c r="L319" s="2" t="n"/>
      <c r="N319" s="2" t="n"/>
    </row>
    <row r="320">
      <c r="D320" s="2" t="n"/>
      <c r="E320" s="3" t="n"/>
      <c r="F320" s="3" t="n"/>
      <c r="G320" s="3" t="n"/>
      <c r="H320" s="4" t="n"/>
      <c r="L320" s="2" t="n"/>
      <c r="N320" s="2" t="n"/>
    </row>
    <row r="321">
      <c r="D321" s="2" t="n"/>
      <c r="E321" s="3" t="n"/>
      <c r="F321" s="3" t="n"/>
      <c r="G321" s="3" t="n"/>
      <c r="H321" s="4" t="n"/>
      <c r="L321" s="2" t="n"/>
      <c r="N321" s="2" t="n"/>
    </row>
    <row r="322">
      <c r="D322" s="2" t="n"/>
      <c r="E322" s="3" t="n"/>
      <c r="F322" s="3" t="n"/>
      <c r="G322" s="3" t="n"/>
      <c r="H322" s="4" t="n"/>
      <c r="L322" s="2" t="n"/>
      <c r="N322" s="2" t="n"/>
    </row>
    <row r="323">
      <c r="D323" s="2" t="n"/>
      <c r="E323" s="3" t="n"/>
      <c r="F323" s="3" t="n"/>
      <c r="G323" s="3" t="n"/>
      <c r="H323" s="4" t="n"/>
      <c r="L323" s="2" t="n"/>
      <c r="N323" s="2" t="n"/>
    </row>
    <row r="324">
      <c r="D324" s="2" t="n"/>
      <c r="E324" s="3" t="n"/>
      <c r="F324" s="3" t="n"/>
      <c r="G324" s="3" t="n"/>
      <c r="H324" s="4" t="n"/>
      <c r="L324" s="2" t="n"/>
      <c r="N324" s="2" t="n"/>
    </row>
    <row r="325">
      <c r="D325" s="2" t="n"/>
      <c r="E325" s="3" t="n"/>
      <c r="F325" s="3" t="n"/>
      <c r="G325" s="3" t="n"/>
      <c r="H325" s="4" t="n"/>
      <c r="L325" s="2" t="n"/>
      <c r="N325" s="2" t="n"/>
    </row>
    <row r="326">
      <c r="D326" s="2" t="n"/>
      <c r="E326" s="3" t="n"/>
      <c r="F326" s="3" t="n"/>
      <c r="G326" s="3" t="n"/>
      <c r="H326" s="4" t="n"/>
      <c r="L326" s="2" t="n"/>
      <c r="N326" s="2" t="n"/>
    </row>
    <row r="327">
      <c r="D327" s="2" t="n"/>
      <c r="E327" s="3" t="n"/>
      <c r="F327" s="3" t="n"/>
      <c r="G327" s="3" t="n"/>
      <c r="H327" s="4" t="n"/>
      <c r="L327" s="2" t="n"/>
      <c r="N327" s="2" t="n"/>
    </row>
    <row r="328">
      <c r="D328" s="2" t="n"/>
      <c r="E328" s="3" t="n"/>
      <c r="F328" s="3" t="n"/>
      <c r="G328" s="3" t="n"/>
      <c r="H328" s="4" t="n"/>
      <c r="L328" s="2" t="n"/>
      <c r="N328" s="2" t="n"/>
    </row>
    <row r="329">
      <c r="D329" s="2" t="n"/>
      <c r="E329" s="3" t="n"/>
      <c r="F329" s="3" t="n"/>
      <c r="G329" s="3" t="n"/>
      <c r="H329" s="4" t="n"/>
      <c r="L329" s="2" t="n"/>
      <c r="N329" s="2" t="n"/>
    </row>
    <row r="330">
      <c r="D330" s="2" t="n"/>
      <c r="E330" s="3" t="n"/>
      <c r="F330" s="3" t="n"/>
      <c r="G330" s="3" t="n"/>
      <c r="H330" s="4" t="n"/>
      <c r="L330" s="2" t="n"/>
      <c r="N330" s="2" t="n"/>
    </row>
    <row r="331">
      <c r="D331" s="2" t="n"/>
      <c r="E331" s="3" t="n"/>
      <c r="F331" s="3" t="n"/>
      <c r="G331" s="3" t="n"/>
      <c r="H331" s="4" t="n"/>
      <c r="L331" s="2" t="n"/>
      <c r="N331" s="2" t="n"/>
    </row>
    <row r="332">
      <c r="D332" s="2" t="n"/>
      <c r="E332" s="3" t="n"/>
      <c r="F332" s="3" t="n"/>
      <c r="G332" s="3" t="n"/>
      <c r="H332" s="4" t="n"/>
      <c r="L332" s="2" t="n"/>
      <c r="N332" s="2" t="n"/>
    </row>
    <row r="333">
      <c r="D333" s="2" t="n"/>
      <c r="E333" s="3" t="n"/>
      <c r="F333" s="3" t="n"/>
      <c r="G333" s="3" t="n"/>
      <c r="H333" s="4" t="n"/>
      <c r="L333" s="2" t="n"/>
      <c r="N333" s="2" t="n"/>
    </row>
    <row r="334">
      <c r="D334" s="2" t="n"/>
      <c r="E334" s="3" t="n"/>
      <c r="F334" s="3" t="n"/>
      <c r="G334" s="3" t="n"/>
      <c r="H334" s="4" t="n"/>
      <c r="L334" s="2" t="n"/>
      <c r="N334" s="2" t="n"/>
    </row>
    <row r="335">
      <c r="D335" s="2" t="n"/>
      <c r="E335" s="3" t="n"/>
      <c r="F335" s="3" t="n"/>
      <c r="G335" s="3" t="n"/>
      <c r="H335" s="4" t="n"/>
      <c r="L335" s="2" t="n"/>
      <c r="N335" s="2" t="n"/>
    </row>
    <row r="336">
      <c r="D336" s="2" t="n"/>
      <c r="E336" s="3" t="n"/>
      <c r="F336" s="3" t="n"/>
      <c r="G336" s="3" t="n"/>
      <c r="H336" s="4" t="n"/>
      <c r="L336" s="2" t="n"/>
      <c r="N336" s="2" t="n"/>
    </row>
    <row r="337">
      <c r="D337" s="2" t="n"/>
      <c r="E337" s="3" t="n"/>
      <c r="F337" s="3" t="n"/>
      <c r="G337" s="3" t="n"/>
      <c r="H337" s="4" t="n"/>
      <c r="L337" s="2" t="n"/>
      <c r="N337" s="2" t="n"/>
    </row>
    <row r="338">
      <c r="D338" s="2" t="n"/>
      <c r="E338" s="3" t="n"/>
      <c r="F338" s="3" t="n"/>
      <c r="G338" s="3" t="n"/>
      <c r="H338" s="4" t="n"/>
      <c r="L338" s="2" t="n"/>
      <c r="N338" s="2" t="n"/>
    </row>
    <row r="339">
      <c r="D339" s="2" t="n"/>
      <c r="E339" s="3" t="n"/>
      <c r="F339" s="3" t="n"/>
      <c r="G339" s="3" t="n"/>
      <c r="H339" s="4" t="n"/>
      <c r="L339" s="2" t="n"/>
      <c r="N339" s="2" t="n"/>
    </row>
    <row r="340">
      <c r="D340" s="2" t="n"/>
      <c r="E340" s="3" t="n"/>
      <c r="F340" s="3" t="n"/>
      <c r="G340" s="3" t="n"/>
      <c r="H340" s="4" t="n"/>
      <c r="L340" s="2" t="n"/>
      <c r="N340" s="2" t="n"/>
    </row>
    <row r="341">
      <c r="D341" s="2" t="n"/>
      <c r="E341" s="3" t="n"/>
      <c r="F341" s="3" t="n"/>
      <c r="G341" s="3" t="n"/>
      <c r="H341" s="4" t="n"/>
      <c r="L341" s="2" t="n"/>
      <c r="N341" s="2" t="n"/>
    </row>
    <row r="342">
      <c r="D342" s="2" t="n"/>
      <c r="E342" s="3" t="n"/>
      <c r="F342" s="3" t="n"/>
      <c r="G342" s="3" t="n"/>
      <c r="H342" s="4" t="n"/>
      <c r="L342" s="2" t="n"/>
      <c r="N342" s="2" t="n"/>
    </row>
    <row r="343">
      <c r="D343" s="2" t="n"/>
      <c r="E343" s="3" t="n"/>
      <c r="F343" s="3" t="n"/>
      <c r="G343" s="3" t="n"/>
      <c r="H343" s="4" t="n"/>
      <c r="L343" s="2" t="n"/>
      <c r="N343" s="2" t="n"/>
    </row>
    <row r="344">
      <c r="D344" s="2" t="n"/>
      <c r="E344" s="3" t="n"/>
      <c r="F344" s="3" t="n"/>
      <c r="G344" s="3" t="n"/>
      <c r="H344" s="4" t="n"/>
      <c r="L344" s="2" t="n"/>
      <c r="N344" s="2" t="n"/>
    </row>
    <row r="345">
      <c r="D345" s="2" t="n"/>
      <c r="E345" s="3" t="n"/>
      <c r="F345" s="3" t="n"/>
      <c r="G345" s="3" t="n"/>
      <c r="H345" s="4" t="n"/>
      <c r="L345" s="2" t="n"/>
      <c r="N345" s="2" t="n"/>
    </row>
    <row r="346">
      <c r="D346" s="2" t="n"/>
      <c r="E346" s="3" t="n"/>
      <c r="F346" s="3" t="n"/>
      <c r="G346" s="3" t="n"/>
      <c r="H346" s="4" t="n"/>
      <c r="L346" s="2" t="n"/>
      <c r="N346" s="2" t="n"/>
    </row>
    <row r="347">
      <c r="D347" s="2" t="n"/>
      <c r="E347" s="3" t="n"/>
      <c r="F347" s="3" t="n"/>
      <c r="G347" s="3" t="n"/>
      <c r="H347" s="4" t="n"/>
      <c r="L347" s="2" t="n"/>
      <c r="N347" s="2" t="n"/>
    </row>
    <row r="348">
      <c r="D348" s="2" t="n"/>
      <c r="E348" s="3" t="n"/>
      <c r="F348" s="3" t="n"/>
      <c r="G348" s="3" t="n"/>
      <c r="H348" s="4" t="n"/>
      <c r="L348" s="2" t="n"/>
      <c r="N348" s="2" t="n"/>
    </row>
    <row r="349">
      <c r="D349" s="2" t="n"/>
      <c r="E349" s="3" t="n"/>
      <c r="F349" s="3" t="n"/>
      <c r="G349" s="3" t="n"/>
      <c r="H349" s="4" t="n"/>
      <c r="L349" s="2" t="n"/>
      <c r="N349" s="2" t="n"/>
    </row>
    <row r="350">
      <c r="D350" s="2" t="n"/>
      <c r="E350" s="3" t="n"/>
      <c r="F350" s="3" t="n"/>
      <c r="G350" s="3" t="n"/>
      <c r="H350" s="4" t="n"/>
      <c r="L350" s="2" t="n"/>
      <c r="N350" s="2" t="n"/>
    </row>
    <row r="351">
      <c r="D351" s="2" t="n"/>
      <c r="E351" s="3" t="n"/>
      <c r="F351" s="3" t="n"/>
      <c r="G351" s="3" t="n"/>
      <c r="H351" s="4" t="n"/>
      <c r="L351" s="2" t="n"/>
      <c r="N351" s="2" t="n"/>
    </row>
    <row r="352">
      <c r="D352" s="2" t="n"/>
      <c r="E352" s="3" t="n"/>
      <c r="F352" s="3" t="n"/>
      <c r="G352" s="3" t="n"/>
      <c r="H352" s="4" t="n"/>
      <c r="L352" s="2" t="n"/>
      <c r="N352" s="2" t="n"/>
    </row>
    <row r="353">
      <c r="D353" s="2" t="n"/>
      <c r="E353" s="3" t="n"/>
      <c r="F353" s="3" t="n"/>
      <c r="G353" s="3" t="n"/>
      <c r="H353" s="4" t="n"/>
      <c r="L353" s="2" t="n"/>
      <c r="N353" s="2" t="n"/>
    </row>
    <row r="354">
      <c r="D354" s="2" t="n"/>
      <c r="E354" s="3" t="n"/>
      <c r="F354" s="3" t="n"/>
      <c r="G354" s="3" t="n"/>
      <c r="H354" s="4" t="n"/>
      <c r="L354" s="2" t="n"/>
      <c r="N354" s="2" t="n"/>
    </row>
    <row r="355">
      <c r="D355" s="2" t="n"/>
      <c r="E355" s="3" t="n"/>
      <c r="F355" s="3" t="n"/>
      <c r="G355" s="3" t="n"/>
      <c r="H355" s="4" t="n"/>
      <c r="L355" s="2" t="n"/>
      <c r="N355" s="2" t="n"/>
    </row>
    <row r="356">
      <c r="D356" s="2" t="n"/>
      <c r="E356" s="3" t="n"/>
      <c r="F356" s="3" t="n"/>
      <c r="G356" s="3" t="n"/>
      <c r="H356" s="4" t="n"/>
      <c r="L356" s="2" t="n"/>
      <c r="N356" s="2" t="n"/>
    </row>
    <row r="357">
      <c r="D357" s="2" t="n"/>
      <c r="E357" s="3" t="n"/>
      <c r="F357" s="3" t="n"/>
      <c r="G357" s="3" t="n"/>
      <c r="H357" s="4" t="n"/>
      <c r="L357" s="2" t="n"/>
      <c r="N357" s="2" t="n"/>
    </row>
    <row r="358">
      <c r="D358" s="2" t="n"/>
      <c r="E358" s="3" t="n"/>
      <c r="F358" s="3" t="n"/>
      <c r="G358" s="3" t="n"/>
      <c r="H358" s="4" t="n"/>
      <c r="L358" s="2" t="n"/>
      <c r="N358" s="2" t="n"/>
    </row>
    <row r="359">
      <c r="D359" s="2" t="n"/>
      <c r="E359" s="3" t="n"/>
      <c r="F359" s="3" t="n"/>
      <c r="G359" s="3" t="n"/>
      <c r="H359" s="4" t="n"/>
      <c r="L359" s="2" t="n"/>
      <c r="N359" s="2" t="n"/>
    </row>
    <row r="360">
      <c r="D360" s="2" t="n"/>
      <c r="E360" s="3" t="n"/>
      <c r="F360" s="3" t="n"/>
      <c r="G360" s="3" t="n"/>
      <c r="H360" s="4" t="n"/>
      <c r="L360" s="2" t="n"/>
      <c r="N360" s="2" t="n"/>
    </row>
    <row r="361">
      <c r="D361" s="2" t="n"/>
      <c r="E361" s="3" t="n"/>
      <c r="F361" s="3" t="n"/>
      <c r="G361" s="3" t="n"/>
      <c r="H361" s="4" t="n"/>
      <c r="L361" s="2" t="n"/>
      <c r="N361" s="2" t="n"/>
    </row>
    <row r="362">
      <c r="D362" s="2" t="n"/>
      <c r="E362" s="3" t="n"/>
      <c r="F362" s="3" t="n"/>
      <c r="G362" s="3" t="n"/>
      <c r="H362" s="4" t="n"/>
      <c r="L362" s="2" t="n"/>
      <c r="N362" s="2" t="n"/>
    </row>
    <row r="363">
      <c r="D363" s="2" t="n"/>
      <c r="E363" s="3" t="n"/>
      <c r="F363" s="3" t="n"/>
      <c r="G363" s="3" t="n"/>
      <c r="H363" s="4" t="n"/>
      <c r="L363" s="2" t="n"/>
      <c r="N363" s="2" t="n"/>
    </row>
    <row r="364">
      <c r="D364" s="2" t="n"/>
      <c r="E364" s="3" t="n"/>
      <c r="F364" s="3" t="n"/>
      <c r="G364" s="3" t="n"/>
      <c r="H364" s="4" t="n"/>
      <c r="L364" s="2" t="n"/>
      <c r="N364" s="2" t="n"/>
    </row>
    <row r="365">
      <c r="D365" s="2" t="n"/>
      <c r="E365" s="3" t="n"/>
      <c r="F365" s="3" t="n"/>
      <c r="G365" s="3" t="n"/>
      <c r="H365" s="4" t="n"/>
      <c r="L365" s="2" t="n"/>
      <c r="N365" s="2" t="n"/>
    </row>
    <row r="366">
      <c r="D366" s="2" t="n"/>
      <c r="E366" s="3" t="n"/>
      <c r="F366" s="3" t="n"/>
      <c r="G366" s="3" t="n"/>
      <c r="H366" s="4" t="n"/>
      <c r="L366" s="2" t="n"/>
      <c r="N366" s="2" t="n"/>
    </row>
    <row r="367">
      <c r="D367" s="2" t="n"/>
      <c r="E367" s="3" t="n"/>
      <c r="F367" s="3" t="n"/>
      <c r="G367" s="3" t="n"/>
      <c r="H367" s="4" t="n"/>
      <c r="L367" s="2" t="n"/>
      <c r="N367" s="2" t="n"/>
    </row>
    <row r="368">
      <c r="D368" s="2" t="n"/>
      <c r="E368" s="3" t="n"/>
      <c r="F368" s="3" t="n"/>
      <c r="G368" s="3" t="n"/>
      <c r="H368" s="4" t="n"/>
      <c r="L368" s="2" t="n"/>
      <c r="N368" s="2" t="n"/>
    </row>
    <row r="369">
      <c r="D369" s="2" t="n"/>
      <c r="E369" s="3" t="n"/>
      <c r="F369" s="3" t="n"/>
      <c r="G369" s="3" t="n"/>
      <c r="H369" s="4" t="n"/>
      <c r="L369" s="2" t="n"/>
      <c r="N369" s="2" t="n"/>
    </row>
    <row r="370">
      <c r="D370" s="2" t="n"/>
      <c r="E370" s="3" t="n"/>
      <c r="F370" s="3" t="n"/>
      <c r="G370" s="3" t="n"/>
      <c r="H370" s="4" t="n"/>
      <c r="L370" s="2" t="n"/>
      <c r="N370" s="2" t="n"/>
    </row>
    <row r="371">
      <c r="D371" s="2" t="n"/>
      <c r="E371" s="3" t="n"/>
      <c r="F371" s="3" t="n"/>
      <c r="G371" s="3" t="n"/>
      <c r="H371" s="4" t="n"/>
      <c r="L371" s="2" t="n"/>
      <c r="N371" s="2" t="n"/>
    </row>
    <row r="372">
      <c r="D372" s="2" t="n"/>
      <c r="E372" s="3" t="n"/>
      <c r="F372" s="3" t="n"/>
      <c r="G372" s="3" t="n"/>
      <c r="H372" s="4" t="n"/>
      <c r="L372" s="2" t="n"/>
      <c r="N372" s="2" t="n"/>
    </row>
    <row r="373">
      <c r="D373" s="2" t="n"/>
      <c r="E373" s="3" t="n"/>
      <c r="F373" s="3" t="n"/>
      <c r="G373" s="3" t="n"/>
      <c r="H373" s="4" t="n"/>
      <c r="L373" s="2" t="n"/>
      <c r="N373" s="2" t="n"/>
    </row>
    <row r="374">
      <c r="D374" s="2" t="n"/>
      <c r="E374" s="3" t="n"/>
      <c r="F374" s="3" t="n"/>
      <c r="G374" s="3" t="n"/>
      <c r="H374" s="4" t="n"/>
      <c r="L374" s="2" t="n"/>
      <c r="N374" s="2" t="n"/>
    </row>
    <row r="375">
      <c r="D375" s="2" t="n"/>
      <c r="E375" s="3" t="n"/>
      <c r="F375" s="3" t="n"/>
      <c r="G375" s="3" t="n"/>
      <c r="H375" s="4" t="n"/>
      <c r="L375" s="2" t="n"/>
      <c r="N375" s="2" t="n"/>
    </row>
    <row r="376">
      <c r="D376" s="2" t="n"/>
      <c r="E376" s="3" t="n"/>
      <c r="F376" s="3" t="n"/>
      <c r="G376" s="3" t="n"/>
      <c r="H376" s="4" t="n"/>
      <c r="L376" s="2" t="n"/>
      <c r="N376" s="2" t="n"/>
    </row>
    <row r="377">
      <c r="D377" s="2" t="n"/>
      <c r="E377" s="3" t="n"/>
      <c r="F377" s="3" t="n"/>
      <c r="G377" s="3" t="n"/>
      <c r="H377" s="4" t="n"/>
      <c r="L377" s="2" t="n"/>
      <c r="N377" s="2" t="n"/>
    </row>
    <row r="378">
      <c r="D378" s="2" t="n"/>
      <c r="E378" s="3" t="n"/>
      <c r="F378" s="3" t="n"/>
      <c r="G378" s="3" t="n"/>
      <c r="H378" s="4" t="n"/>
      <c r="L378" s="2" t="n"/>
      <c r="N378" s="2" t="n"/>
    </row>
    <row r="379">
      <c r="D379" s="2" t="n"/>
      <c r="E379" s="3" t="n"/>
      <c r="F379" s="3" t="n"/>
      <c r="G379" s="3" t="n"/>
      <c r="H379" s="4" t="n"/>
      <c r="L379" s="2" t="n"/>
      <c r="N379" s="2" t="n"/>
    </row>
    <row r="380">
      <c r="D380" s="2" t="n"/>
      <c r="E380" s="3" t="n"/>
      <c r="F380" s="3" t="n"/>
      <c r="G380" s="3" t="n"/>
      <c r="H380" s="4" t="n"/>
      <c r="L380" s="2" t="n"/>
      <c r="N380" s="2" t="n"/>
    </row>
    <row r="381">
      <c r="D381" s="2" t="n"/>
      <c r="E381" s="3" t="n"/>
      <c r="F381" s="3" t="n"/>
      <c r="G381" s="3" t="n"/>
      <c r="H381" s="4" t="n"/>
      <c r="L381" s="2" t="n"/>
      <c r="N381" s="2" t="n"/>
    </row>
    <row r="382">
      <c r="D382" s="2" t="n"/>
      <c r="E382" s="3" t="n"/>
      <c r="F382" s="3" t="n"/>
      <c r="G382" s="3" t="n"/>
      <c r="H382" s="4" t="n"/>
      <c r="L382" s="2" t="n"/>
      <c r="N382" s="2" t="n"/>
    </row>
    <row r="383">
      <c r="D383" s="2" t="n"/>
      <c r="E383" s="3" t="n"/>
      <c r="F383" s="3" t="n"/>
      <c r="G383" s="3" t="n"/>
      <c r="H383" s="4" t="n"/>
      <c r="L383" s="2" t="n"/>
      <c r="N383" s="2" t="n"/>
    </row>
    <row r="384">
      <c r="D384" s="2" t="n"/>
      <c r="E384" s="3" t="n"/>
      <c r="F384" s="3" t="n"/>
      <c r="G384" s="3" t="n"/>
      <c r="H384" s="4" t="n"/>
      <c r="L384" s="2" t="n"/>
      <c r="N384" s="2" t="n"/>
    </row>
    <row r="385">
      <c r="D385" s="2" t="n"/>
      <c r="E385" s="3" t="n"/>
      <c r="F385" s="3" t="n"/>
      <c r="G385" s="3" t="n"/>
      <c r="H385" s="4" t="n"/>
      <c r="L385" s="2" t="n"/>
      <c r="N385" s="2" t="n"/>
    </row>
    <row r="386">
      <c r="D386" s="2" t="n"/>
      <c r="E386" s="3" t="n"/>
      <c r="F386" s="3" t="n"/>
      <c r="G386" s="3" t="n"/>
      <c r="H386" s="4" t="n"/>
      <c r="L386" s="2" t="n"/>
      <c r="N386" s="2" t="n"/>
    </row>
    <row r="387">
      <c r="D387" s="2" t="n"/>
      <c r="E387" s="3" t="n"/>
      <c r="F387" s="3" t="n"/>
      <c r="G387" s="3" t="n"/>
      <c r="H387" s="4" t="n"/>
      <c r="L387" s="2" t="n"/>
      <c r="N387" s="2" t="n"/>
    </row>
    <row r="388">
      <c r="D388" s="2" t="n"/>
      <c r="E388" s="3" t="n"/>
      <c r="F388" s="3" t="n"/>
      <c r="G388" s="3" t="n"/>
      <c r="H388" s="4" t="n"/>
      <c r="L388" s="2" t="n"/>
      <c r="N388" s="2" t="n"/>
    </row>
    <row r="389">
      <c r="D389" s="2" t="n"/>
      <c r="E389" s="3" t="n"/>
      <c r="F389" s="3" t="n"/>
      <c r="G389" s="3" t="n"/>
      <c r="H389" s="4" t="n"/>
      <c r="L389" s="2" t="n"/>
      <c r="N389" s="2" t="n"/>
    </row>
    <row r="390">
      <c r="D390" s="2" t="n"/>
      <c r="E390" s="3" t="n"/>
      <c r="F390" s="3" t="n"/>
      <c r="G390" s="3" t="n"/>
      <c r="H390" s="4" t="n"/>
      <c r="L390" s="2" t="n"/>
      <c r="N390" s="2" t="n"/>
    </row>
    <row r="391">
      <c r="D391" s="2" t="n"/>
      <c r="E391" s="3" t="n"/>
      <c r="F391" s="3" t="n"/>
      <c r="G391" s="3" t="n"/>
      <c r="H391" s="4" t="n"/>
      <c r="L391" s="2" t="n"/>
      <c r="N391" s="2" t="n"/>
    </row>
    <row r="392">
      <c r="D392" s="2" t="n"/>
      <c r="E392" s="3" t="n"/>
      <c r="F392" s="3" t="n"/>
      <c r="G392" s="3" t="n"/>
      <c r="H392" s="4" t="n"/>
      <c r="L392" s="2" t="n"/>
      <c r="N392" s="2" t="n"/>
    </row>
    <row r="393">
      <c r="D393" s="2" t="n"/>
      <c r="E393" s="3" t="n"/>
      <c r="F393" s="3" t="n"/>
      <c r="G393" s="3" t="n"/>
      <c r="H393" s="4" t="n"/>
      <c r="L393" s="2" t="n"/>
      <c r="N393" s="2" t="n"/>
    </row>
    <row r="394">
      <c r="D394" s="2" t="n"/>
      <c r="E394" s="3" t="n"/>
      <c r="F394" s="3" t="n"/>
      <c r="G394" s="3" t="n"/>
      <c r="H394" s="4" t="n"/>
      <c r="L394" s="2" t="n"/>
      <c r="N394" s="2" t="n"/>
    </row>
    <row r="395">
      <c r="D395" s="2" t="n"/>
      <c r="E395" s="3" t="n"/>
      <c r="F395" s="3" t="n"/>
      <c r="G395" s="3" t="n"/>
      <c r="H395" s="4" t="n"/>
      <c r="L395" s="2" t="n"/>
      <c r="N395" s="2" t="n"/>
    </row>
    <row r="396">
      <c r="D396" s="2" t="n"/>
      <c r="E396" s="3" t="n"/>
      <c r="F396" s="3" t="n"/>
      <c r="G396" s="3" t="n"/>
      <c r="H396" s="4" t="n"/>
      <c r="L396" s="2" t="n"/>
      <c r="N396" s="2" t="n"/>
    </row>
    <row r="397">
      <c r="D397" s="2" t="n"/>
      <c r="E397" s="3" t="n"/>
      <c r="F397" s="3" t="n"/>
      <c r="G397" s="3" t="n"/>
      <c r="H397" s="4" t="n"/>
      <c r="L397" s="2" t="n"/>
      <c r="N397" s="2" t="n"/>
    </row>
    <row r="398">
      <c r="D398" s="2" t="n"/>
      <c r="E398" s="3" t="n"/>
      <c r="F398" s="3" t="n"/>
      <c r="G398" s="3" t="n"/>
      <c r="H398" s="4" t="n"/>
      <c r="L398" s="2" t="n"/>
      <c r="N398" s="2" t="n"/>
    </row>
    <row r="399">
      <c r="D399" s="2" t="n"/>
      <c r="E399" s="3" t="n"/>
      <c r="F399" s="3" t="n"/>
      <c r="G399" s="3" t="n"/>
      <c r="H399" s="4" t="n"/>
      <c r="L399" s="2" t="n"/>
      <c r="N399" s="2" t="n"/>
    </row>
    <row r="400">
      <c r="D400" s="2" t="n"/>
      <c r="E400" s="3" t="n"/>
      <c r="F400" s="3" t="n"/>
      <c r="G400" s="3" t="n"/>
      <c r="H400" s="4" t="n"/>
      <c r="L400" s="2" t="n"/>
      <c r="N400" s="2" t="n"/>
    </row>
    <row r="401">
      <c r="D401" s="2" t="n"/>
      <c r="E401" s="3" t="n"/>
      <c r="F401" s="3" t="n"/>
      <c r="G401" s="3" t="n"/>
      <c r="H401" s="4" t="n"/>
      <c r="L401" s="2" t="n"/>
      <c r="N401" s="2" t="n"/>
    </row>
    <row r="402">
      <c r="D402" s="2" t="n"/>
      <c r="E402" s="3" t="n"/>
      <c r="F402" s="3" t="n"/>
      <c r="G402" s="3" t="n"/>
      <c r="H402" s="4" t="n"/>
      <c r="L402" s="2" t="n"/>
      <c r="N402" s="2" t="n"/>
    </row>
    <row r="403">
      <c r="D403" s="2" t="n"/>
      <c r="E403" s="3" t="n"/>
      <c r="F403" s="3" t="n"/>
      <c r="G403" s="3" t="n"/>
      <c r="H403" s="4" t="n"/>
      <c r="L403" s="2" t="n"/>
      <c r="N403" s="2" t="n"/>
    </row>
    <row r="404">
      <c r="D404" s="2" t="n"/>
      <c r="E404" s="3" t="n"/>
      <c r="F404" s="3" t="n"/>
      <c r="G404" s="3" t="n"/>
      <c r="H404" s="4" t="n"/>
      <c r="L404" s="2" t="n"/>
      <c r="N404" s="2" t="n"/>
    </row>
    <row r="405">
      <c r="D405" s="2" t="n"/>
      <c r="E405" s="3" t="n"/>
      <c r="F405" s="3" t="n"/>
      <c r="G405" s="3" t="n"/>
      <c r="H405" s="4" t="n"/>
      <c r="L405" s="2" t="n"/>
      <c r="N405" s="2" t="n"/>
    </row>
    <row r="406">
      <c r="D406" s="2" t="n"/>
      <c r="E406" s="3" t="n"/>
      <c r="F406" s="3" t="n"/>
      <c r="G406" s="3" t="n"/>
      <c r="H406" s="4" t="n"/>
      <c r="L406" s="2" t="n"/>
      <c r="N406" s="2" t="n"/>
    </row>
    <row r="407">
      <c r="D407" s="2" t="n"/>
      <c r="E407" s="3" t="n"/>
      <c r="F407" s="3" t="n"/>
      <c r="G407" s="3" t="n"/>
      <c r="H407" s="4" t="n"/>
      <c r="L407" s="2" t="n"/>
      <c r="N407" s="2" t="n"/>
    </row>
    <row r="408">
      <c r="D408" s="2" t="n"/>
      <c r="E408" s="3" t="n"/>
      <c r="F408" s="3" t="n"/>
      <c r="G408" s="3" t="n"/>
      <c r="H408" s="4" t="n"/>
      <c r="L408" s="2" t="n"/>
      <c r="N408" s="2" t="n"/>
    </row>
    <row r="409">
      <c r="D409" s="2" t="n"/>
      <c r="E409" s="3" t="n"/>
      <c r="F409" s="3" t="n"/>
      <c r="G409" s="3" t="n"/>
      <c r="H409" s="4" t="n"/>
      <c r="L409" s="2" t="n"/>
      <c r="N409" s="2" t="n"/>
    </row>
    <row r="410">
      <c r="D410" s="2" t="n"/>
      <c r="E410" s="3" t="n"/>
      <c r="F410" s="3" t="n"/>
      <c r="G410" s="3" t="n"/>
      <c r="H410" s="4" t="n"/>
      <c r="L410" s="2" t="n"/>
      <c r="N410" s="2" t="n"/>
    </row>
    <row r="411">
      <c r="D411" s="2" t="n"/>
      <c r="E411" s="3" t="n"/>
      <c r="F411" s="3" t="n"/>
      <c r="G411" s="3" t="n"/>
      <c r="H411" s="4" t="n"/>
      <c r="L411" s="2" t="n"/>
      <c r="N411" s="2" t="n"/>
    </row>
    <row r="412">
      <c r="D412" s="2" t="n"/>
      <c r="E412" s="3" t="n"/>
      <c r="F412" s="3" t="n"/>
      <c r="G412" s="3" t="n"/>
      <c r="H412" s="4" t="n"/>
      <c r="L412" s="2" t="n"/>
      <c r="N412" s="2" t="n"/>
    </row>
    <row r="413">
      <c r="D413" s="2" t="n"/>
      <c r="E413" s="3" t="n"/>
      <c r="F413" s="3" t="n"/>
      <c r="G413" s="3" t="n"/>
      <c r="H413" s="4" t="n"/>
      <c r="L413" s="2" t="n"/>
      <c r="N413" s="2" t="n"/>
    </row>
    <row r="414">
      <c r="D414" s="2" t="n"/>
      <c r="E414" s="3" t="n"/>
      <c r="F414" s="3" t="n"/>
      <c r="G414" s="3" t="n"/>
      <c r="H414" s="4" t="n"/>
      <c r="L414" s="2" t="n"/>
      <c r="N414" s="2" t="n"/>
    </row>
    <row r="415">
      <c r="D415" s="2" t="n"/>
      <c r="E415" s="3" t="n"/>
      <c r="F415" s="3" t="n"/>
      <c r="G415" s="3" t="n"/>
      <c r="H415" s="4" t="n"/>
      <c r="L415" s="2" t="n"/>
      <c r="N415" s="2" t="n"/>
    </row>
    <row r="416">
      <c r="D416" s="2" t="n"/>
      <c r="E416" s="3" t="n"/>
      <c r="F416" s="3" t="n"/>
      <c r="G416" s="3" t="n"/>
      <c r="H416" s="4" t="n"/>
      <c r="L416" s="2" t="n"/>
      <c r="N416" s="2" t="n"/>
    </row>
    <row r="417">
      <c r="D417" s="2" t="n"/>
      <c r="E417" s="3" t="n"/>
      <c r="F417" s="3" t="n"/>
      <c r="G417" s="3" t="n"/>
      <c r="H417" s="4" t="n"/>
      <c r="L417" s="2" t="n"/>
      <c r="N417" s="2" t="n"/>
    </row>
    <row r="418">
      <c r="D418" s="2" t="n"/>
      <c r="E418" s="3" t="n"/>
      <c r="F418" s="3" t="n"/>
      <c r="G418" s="3" t="n"/>
      <c r="H418" s="4" t="n"/>
      <c r="L418" s="2" t="n"/>
      <c r="N418" s="2" t="n"/>
    </row>
    <row r="419">
      <c r="D419" s="2" t="n"/>
      <c r="E419" s="3" t="n"/>
      <c r="F419" s="3" t="n"/>
      <c r="G419" s="3" t="n"/>
      <c r="H419" s="4" t="n"/>
      <c r="L419" s="2" t="n"/>
      <c r="N419" s="2" t="n"/>
    </row>
    <row r="420">
      <c r="D420" s="2" t="n"/>
      <c r="E420" s="3" t="n"/>
      <c r="F420" s="3" t="n"/>
      <c r="G420" s="3" t="n"/>
      <c r="H420" s="4" t="n"/>
      <c r="L420" s="2" t="n"/>
      <c r="N420" s="2" t="n"/>
    </row>
    <row r="421">
      <c r="D421" s="2" t="n"/>
      <c r="E421" s="3" t="n"/>
      <c r="F421" s="3" t="n"/>
      <c r="G421" s="3" t="n"/>
      <c r="H421" s="4" t="n"/>
      <c r="L421" s="2" t="n"/>
      <c r="N421" s="2" t="n"/>
    </row>
    <row r="422">
      <c r="D422" s="2" t="n"/>
      <c r="E422" s="3" t="n"/>
      <c r="F422" s="3" t="n"/>
      <c r="G422" s="3" t="n"/>
      <c r="H422" s="4" t="n"/>
      <c r="L422" s="2" t="n"/>
      <c r="N422" s="2" t="n"/>
    </row>
    <row r="423">
      <c r="D423" s="2" t="n"/>
      <c r="E423" s="3" t="n"/>
      <c r="F423" s="3" t="n"/>
      <c r="G423" s="3" t="n"/>
      <c r="H423" s="4" t="n"/>
      <c r="L423" s="2" t="n"/>
      <c r="N423" s="2" t="n"/>
    </row>
    <row r="424">
      <c r="D424" s="2" t="n"/>
      <c r="E424" s="3" t="n"/>
      <c r="F424" s="3" t="n"/>
      <c r="G424" s="3" t="n"/>
      <c r="H424" s="4" t="n"/>
      <c r="L424" s="2" t="n"/>
      <c r="N424" s="2" t="n"/>
    </row>
    <row r="425">
      <c r="D425" s="2" t="n"/>
      <c r="E425" s="3" t="n"/>
      <c r="F425" s="3" t="n"/>
      <c r="G425" s="3" t="n"/>
      <c r="H425" s="4" t="n"/>
      <c r="L425" s="2" t="n"/>
      <c r="N425" s="2" t="n"/>
    </row>
    <row r="426">
      <c r="D426" s="2" t="n"/>
      <c r="E426" s="3" t="n"/>
      <c r="F426" s="3" t="n"/>
      <c r="G426" s="3" t="n"/>
      <c r="H426" s="4" t="n"/>
      <c r="L426" s="2" t="n"/>
      <c r="N426" s="2" t="n"/>
    </row>
    <row r="427">
      <c r="D427" s="2" t="n"/>
      <c r="E427" s="3" t="n"/>
      <c r="F427" s="3" t="n"/>
      <c r="G427" s="3" t="n"/>
      <c r="H427" s="4" t="n"/>
      <c r="L427" s="2" t="n"/>
      <c r="N427" s="2" t="n"/>
    </row>
    <row r="428">
      <c r="D428" s="2" t="n"/>
      <c r="E428" s="3" t="n"/>
      <c r="F428" s="3" t="n"/>
      <c r="G428" s="3" t="n"/>
      <c r="H428" s="4" t="n"/>
      <c r="L428" s="2" t="n"/>
      <c r="N428" s="2" t="n"/>
    </row>
    <row r="429">
      <c r="D429" s="2" t="n"/>
      <c r="E429" s="3" t="n"/>
      <c r="F429" s="3" t="n"/>
      <c r="G429" s="3" t="n"/>
      <c r="H429" s="4" t="n"/>
      <c r="L429" s="2" t="n"/>
      <c r="N429" s="2" t="n"/>
    </row>
    <row r="430">
      <c r="D430" s="2" t="n"/>
      <c r="E430" s="3" t="n"/>
      <c r="F430" s="3" t="n"/>
      <c r="G430" s="3" t="n"/>
      <c r="H430" s="4" t="n"/>
      <c r="L430" s="2" t="n"/>
      <c r="N430" s="2" t="n"/>
    </row>
    <row r="431">
      <c r="D431" s="2" t="n"/>
      <c r="E431" s="3" t="n"/>
      <c r="F431" s="3" t="n"/>
      <c r="G431" s="3" t="n"/>
      <c r="H431" s="4" t="n"/>
      <c r="L431" s="2" t="n"/>
      <c r="N431" s="2" t="n"/>
    </row>
    <row r="432">
      <c r="D432" s="2" t="n"/>
      <c r="E432" s="3" t="n"/>
      <c r="F432" s="3" t="n"/>
      <c r="G432" s="3" t="n"/>
      <c r="H432" s="4" t="n"/>
      <c r="L432" s="2" t="n"/>
      <c r="N432" s="2" t="n"/>
    </row>
    <row r="433">
      <c r="D433" s="2" t="n"/>
      <c r="E433" s="3" t="n"/>
      <c r="F433" s="3" t="n"/>
      <c r="G433" s="3" t="n"/>
      <c r="H433" s="4" t="n"/>
      <c r="L433" s="2" t="n"/>
      <c r="N433" s="2" t="n"/>
    </row>
    <row r="434">
      <c r="D434" s="2" t="n"/>
      <c r="E434" s="3" t="n"/>
      <c r="F434" s="3" t="n"/>
      <c r="G434" s="3" t="n"/>
      <c r="H434" s="4" t="n"/>
      <c r="L434" s="2" t="n"/>
      <c r="N434" s="2" t="n"/>
    </row>
    <row r="435">
      <c r="D435" s="2" t="n"/>
      <c r="E435" s="3" t="n"/>
      <c r="F435" s="3" t="n"/>
      <c r="G435" s="3" t="n"/>
      <c r="H435" s="4" t="n"/>
      <c r="L435" s="2" t="n"/>
      <c r="N435" s="2" t="n"/>
    </row>
    <row r="436">
      <c r="D436" s="2" t="n"/>
      <c r="E436" s="3" t="n"/>
      <c r="F436" s="3" t="n"/>
      <c r="G436" s="3" t="n"/>
      <c r="H436" s="4" t="n"/>
      <c r="L436" s="2" t="n"/>
      <c r="N436" s="2" t="n"/>
    </row>
    <row r="437">
      <c r="D437" s="2" t="n"/>
      <c r="E437" s="3" t="n"/>
      <c r="F437" s="3" t="n"/>
      <c r="G437" s="3" t="n"/>
      <c r="H437" s="4" t="n"/>
      <c r="L437" s="2" t="n"/>
      <c r="N437" s="2" t="n"/>
    </row>
    <row r="438">
      <c r="D438" s="2" t="n"/>
      <c r="E438" s="3" t="n"/>
      <c r="F438" s="3" t="n"/>
      <c r="G438" s="3" t="n"/>
      <c r="H438" s="4" t="n"/>
      <c r="L438" s="2" t="n"/>
      <c r="N438" s="2" t="n"/>
    </row>
    <row r="439">
      <c r="D439" s="2" t="n"/>
      <c r="E439" s="3" t="n"/>
      <c r="F439" s="3" t="n"/>
      <c r="G439" s="3" t="n"/>
      <c r="H439" s="4" t="n"/>
      <c r="L439" s="2" t="n"/>
      <c r="N439" s="2" t="n"/>
    </row>
    <row r="440">
      <c r="D440" s="2" t="n"/>
      <c r="E440" s="3" t="n"/>
      <c r="F440" s="3" t="n"/>
      <c r="G440" s="3" t="n"/>
      <c r="H440" s="4" t="n"/>
      <c r="L440" s="2" t="n"/>
      <c r="N440" s="2" t="n"/>
    </row>
    <row r="441">
      <c r="D441" s="2" t="n"/>
      <c r="E441" s="3" t="n"/>
      <c r="F441" s="3" t="n"/>
      <c r="G441" s="3" t="n"/>
      <c r="H441" s="4" t="n"/>
      <c r="L441" s="2" t="n"/>
      <c r="N441" s="2" t="n"/>
    </row>
    <row r="442">
      <c r="D442" s="2" t="n"/>
      <c r="E442" s="3" t="n"/>
      <c r="F442" s="3" t="n"/>
      <c r="G442" s="3" t="n"/>
      <c r="H442" s="4" t="n"/>
      <c r="L442" s="2" t="n"/>
      <c r="N442" s="2" t="n"/>
    </row>
    <row r="443">
      <c r="D443" s="2" t="n"/>
      <c r="E443" s="3" t="n"/>
      <c r="F443" s="3" t="n"/>
      <c r="G443" s="3" t="n"/>
      <c r="H443" s="4" t="n"/>
      <c r="L443" s="2" t="n"/>
      <c r="N443" s="2" t="n"/>
    </row>
    <row r="444">
      <c r="D444" s="2" t="n"/>
      <c r="E444" s="3" t="n"/>
      <c r="F444" s="3" t="n"/>
      <c r="G444" s="3" t="n"/>
      <c r="H444" s="4" t="n"/>
      <c r="L444" s="2" t="n"/>
      <c r="N444" s="2" t="n"/>
    </row>
    <row r="445">
      <c r="D445" s="2" t="n"/>
      <c r="E445" s="3" t="n"/>
      <c r="F445" s="3" t="n"/>
      <c r="G445" s="3" t="n"/>
      <c r="H445" s="4" t="n"/>
      <c r="L445" s="2" t="n"/>
      <c r="N445" s="2" t="n"/>
    </row>
    <row r="446">
      <c r="D446" s="2" t="n"/>
      <c r="E446" s="3" t="n"/>
      <c r="F446" s="3" t="n"/>
      <c r="G446" s="3" t="n"/>
      <c r="H446" s="4" t="n"/>
      <c r="L446" s="2" t="n"/>
      <c r="N446" s="2" t="n"/>
    </row>
    <row r="447">
      <c r="D447" s="2" t="n"/>
      <c r="E447" s="3" t="n"/>
      <c r="F447" s="3" t="n"/>
      <c r="G447" s="3" t="n"/>
      <c r="H447" s="4" t="n"/>
      <c r="L447" s="2" t="n"/>
      <c r="N447" s="2" t="n"/>
    </row>
    <row r="448">
      <c r="D448" s="2" t="n"/>
      <c r="E448" s="3" t="n"/>
      <c r="F448" s="3" t="n"/>
      <c r="G448" s="3" t="n"/>
      <c r="H448" s="4" t="n"/>
      <c r="L448" s="2" t="n"/>
      <c r="N448" s="2" t="n"/>
    </row>
    <row r="449">
      <c r="D449" s="2" t="n"/>
      <c r="E449" s="3" t="n"/>
      <c r="F449" s="3" t="n"/>
      <c r="G449" s="3" t="n"/>
      <c r="H449" s="4" t="n"/>
      <c r="L449" s="2" t="n"/>
      <c r="N449" s="2" t="n"/>
    </row>
    <row r="450">
      <c r="D450" s="2" t="n"/>
      <c r="E450" s="3" t="n"/>
      <c r="F450" s="3" t="n"/>
      <c r="G450" s="3" t="n"/>
      <c r="H450" s="4" t="n"/>
      <c r="L450" s="2" t="n"/>
      <c r="N450" s="2" t="n"/>
    </row>
    <row r="451">
      <c r="D451" s="2" t="n"/>
      <c r="E451" s="3" t="n"/>
      <c r="F451" s="3" t="n"/>
      <c r="G451" s="3" t="n"/>
      <c r="H451" s="4" t="n"/>
      <c r="L451" s="2" t="n"/>
      <c r="N451" s="2" t="n"/>
    </row>
    <row r="452">
      <c r="D452" s="2" t="n"/>
      <c r="E452" s="3" t="n"/>
      <c r="F452" s="3" t="n"/>
      <c r="G452" s="3" t="n"/>
      <c r="H452" s="4" t="n"/>
      <c r="L452" s="2" t="n"/>
      <c r="N452" s="2" t="n"/>
    </row>
    <row r="453">
      <c r="D453" s="2" t="n"/>
      <c r="E453" s="3" t="n"/>
      <c r="F453" s="3" t="n"/>
      <c r="G453" s="3" t="n"/>
      <c r="H453" s="4" t="n"/>
      <c r="L453" s="2" t="n"/>
      <c r="N453" s="2" t="n"/>
    </row>
    <row r="454">
      <c r="D454" s="2" t="n"/>
      <c r="E454" s="3" t="n"/>
      <c r="F454" s="3" t="n"/>
      <c r="G454" s="3" t="n"/>
      <c r="H454" s="4" t="n"/>
      <c r="L454" s="2" t="n"/>
      <c r="N454" s="2" t="n"/>
    </row>
    <row r="455">
      <c r="D455" s="2" t="n"/>
      <c r="E455" s="3" t="n"/>
      <c r="F455" s="3" t="n"/>
      <c r="G455" s="3" t="n"/>
      <c r="H455" s="4" t="n"/>
      <c r="L455" s="2" t="n"/>
      <c r="N455" s="2" t="n"/>
    </row>
    <row r="456">
      <c r="D456" s="2" t="n"/>
      <c r="E456" s="3" t="n"/>
      <c r="F456" s="3" t="n"/>
      <c r="G456" s="3" t="n"/>
      <c r="H456" s="4" t="n"/>
      <c r="L456" s="2" t="n"/>
      <c r="N456" s="2" t="n"/>
    </row>
    <row r="457">
      <c r="D457" s="2" t="n"/>
      <c r="E457" s="3" t="n"/>
      <c r="F457" s="3" t="n"/>
      <c r="G457" s="3" t="n"/>
      <c r="H457" s="4" t="n"/>
      <c r="L457" s="2" t="n"/>
      <c r="N457" s="2" t="n"/>
    </row>
    <row r="458">
      <c r="D458" s="2" t="n"/>
      <c r="E458" s="3" t="n"/>
      <c r="F458" s="3" t="n"/>
      <c r="G458" s="3" t="n"/>
      <c r="H458" s="4" t="n"/>
      <c r="L458" s="2" t="n"/>
      <c r="N458" s="2" t="n"/>
    </row>
    <row r="459">
      <c r="D459" s="2" t="n"/>
      <c r="E459" s="3" t="n"/>
      <c r="F459" s="3" t="n"/>
      <c r="G459" s="3" t="n"/>
      <c r="H459" s="4" t="n"/>
      <c r="L459" s="2" t="n"/>
      <c r="N459" s="2" t="n"/>
    </row>
    <row r="460">
      <c r="D460" s="2" t="n"/>
      <c r="E460" s="3" t="n"/>
      <c r="F460" s="3" t="n"/>
      <c r="G460" s="3" t="n"/>
      <c r="H460" s="4" t="n"/>
      <c r="L460" s="2" t="n"/>
      <c r="N460" s="2" t="n"/>
    </row>
    <row r="461">
      <c r="D461" s="2" t="n"/>
      <c r="E461" s="3" t="n"/>
      <c r="F461" s="3" t="n"/>
      <c r="G461" s="3" t="n"/>
      <c r="H461" s="4" t="n"/>
      <c r="L461" s="2" t="n"/>
      <c r="N461" s="2" t="n"/>
    </row>
    <row r="462">
      <c r="D462" s="2" t="n"/>
      <c r="E462" s="3" t="n"/>
      <c r="F462" s="3" t="n"/>
      <c r="G462" s="3" t="n"/>
      <c r="H462" s="4" t="n"/>
      <c r="L462" s="2" t="n"/>
      <c r="N462" s="2" t="n"/>
    </row>
    <row r="463">
      <c r="D463" s="2" t="n"/>
      <c r="E463" s="3" t="n"/>
      <c r="F463" s="3" t="n"/>
      <c r="G463" s="3" t="n"/>
      <c r="H463" s="4" t="n"/>
      <c r="L463" s="2" t="n"/>
      <c r="N463" s="2" t="n"/>
    </row>
    <row r="464">
      <c r="D464" s="2" t="n"/>
      <c r="E464" s="3" t="n"/>
      <c r="F464" s="3" t="n"/>
      <c r="G464" s="3" t="n"/>
      <c r="H464" s="4" t="n"/>
      <c r="L464" s="2" t="n"/>
      <c r="N464" s="2" t="n"/>
    </row>
    <row r="465">
      <c r="D465" s="2" t="n"/>
      <c r="E465" s="3" t="n"/>
      <c r="F465" s="3" t="n"/>
      <c r="G465" s="3" t="n"/>
      <c r="H465" s="4" t="n"/>
      <c r="L465" s="2" t="n"/>
      <c r="N465" s="2" t="n"/>
    </row>
    <row r="466">
      <c r="D466" s="2" t="n"/>
      <c r="E466" s="3" t="n"/>
      <c r="F466" s="3" t="n"/>
      <c r="G466" s="3" t="n"/>
      <c r="H466" s="4" t="n"/>
      <c r="L466" s="2" t="n"/>
      <c r="N466" s="2" t="n"/>
    </row>
    <row r="467">
      <c r="D467" s="2" t="n"/>
      <c r="E467" s="3" t="n"/>
      <c r="F467" s="3" t="n"/>
      <c r="G467" s="3" t="n"/>
      <c r="H467" s="4" t="n"/>
      <c r="L467" s="2" t="n"/>
      <c r="N467" s="2" t="n"/>
    </row>
    <row r="468">
      <c r="D468" s="2" t="n"/>
      <c r="E468" s="3" t="n"/>
      <c r="F468" s="3" t="n"/>
      <c r="G468" s="3" t="n"/>
      <c r="H468" s="4" t="n"/>
      <c r="L468" s="2" t="n"/>
      <c r="N468" s="2" t="n"/>
    </row>
    <row r="469">
      <c r="D469" s="2" t="n"/>
      <c r="E469" s="3" t="n"/>
      <c r="F469" s="3" t="n"/>
      <c r="G469" s="3" t="n"/>
      <c r="H469" s="4" t="n"/>
      <c r="L469" s="2" t="n"/>
      <c r="N469" s="2" t="n"/>
    </row>
    <row r="470">
      <c r="D470" s="2" t="n"/>
      <c r="E470" s="3" t="n"/>
      <c r="F470" s="3" t="n"/>
      <c r="G470" s="3" t="n"/>
      <c r="H470" s="4" t="n"/>
      <c r="L470" s="2" t="n"/>
      <c r="N470" s="2" t="n"/>
    </row>
    <row r="471">
      <c r="D471" s="2" t="n"/>
      <c r="E471" s="3" t="n"/>
      <c r="F471" s="3" t="n"/>
      <c r="G471" s="3" t="n"/>
      <c r="H471" s="4" t="n"/>
      <c r="L471" s="2" t="n"/>
      <c r="N471" s="2" t="n"/>
    </row>
    <row r="472">
      <c r="D472" s="2" t="n"/>
      <c r="E472" s="3" t="n"/>
      <c r="F472" s="3" t="n"/>
      <c r="G472" s="3" t="n"/>
      <c r="H472" s="4" t="n"/>
      <c r="L472" s="2" t="n"/>
      <c r="N472" s="2" t="n"/>
    </row>
    <row r="473">
      <c r="D473" s="2" t="n"/>
      <c r="E473" s="3" t="n"/>
      <c r="F473" s="3" t="n"/>
      <c r="G473" s="3" t="n"/>
      <c r="H473" s="4" t="n"/>
      <c r="L473" s="2" t="n"/>
      <c r="N473" s="2" t="n"/>
    </row>
    <row r="474">
      <c r="D474" s="2" t="n"/>
      <c r="E474" s="3" t="n"/>
      <c r="F474" s="3" t="n"/>
      <c r="G474" s="3" t="n"/>
      <c r="H474" s="4" t="n"/>
      <c r="L474" s="2" t="n"/>
      <c r="N474" s="2" t="n"/>
    </row>
    <row r="475">
      <c r="D475" s="2" t="n"/>
      <c r="E475" s="3" t="n"/>
      <c r="F475" s="3" t="n"/>
      <c r="G475" s="3" t="n"/>
      <c r="H475" s="4" t="n"/>
      <c r="L475" s="2" t="n"/>
      <c r="N475" s="2" t="n"/>
    </row>
    <row r="476">
      <c r="D476" s="2" t="n"/>
      <c r="E476" s="3" t="n"/>
      <c r="F476" s="3" t="n"/>
      <c r="G476" s="3" t="n"/>
      <c r="H476" s="4" t="n"/>
      <c r="L476" s="2" t="n"/>
      <c r="N476" s="2" t="n"/>
    </row>
    <row r="477">
      <c r="D477" s="2" t="n"/>
      <c r="E477" s="3" t="n"/>
      <c r="F477" s="3" t="n"/>
      <c r="G477" s="3" t="n"/>
      <c r="H477" s="4" t="n"/>
      <c r="L477" s="2" t="n"/>
      <c r="N477" s="2" t="n"/>
    </row>
    <row r="478">
      <c r="D478" s="2" t="n"/>
      <c r="E478" s="3" t="n"/>
      <c r="F478" s="3" t="n"/>
      <c r="G478" s="3" t="n"/>
      <c r="H478" s="4" t="n"/>
      <c r="L478" s="2" t="n"/>
      <c r="N478" s="2" t="n"/>
    </row>
    <row r="479">
      <c r="D479" s="2" t="n"/>
      <c r="E479" s="3" t="n"/>
      <c r="F479" s="3" t="n"/>
      <c r="G479" s="3" t="n"/>
      <c r="H479" s="4" t="n"/>
      <c r="L479" s="2" t="n"/>
      <c r="N479" s="2" t="n"/>
    </row>
    <row r="480">
      <c r="D480" s="2" t="n"/>
      <c r="E480" s="3" t="n"/>
      <c r="F480" s="3" t="n"/>
      <c r="G480" s="3" t="n"/>
      <c r="H480" s="4" t="n"/>
      <c r="L480" s="2" t="n"/>
      <c r="N480" s="2" t="n"/>
    </row>
    <row r="481">
      <c r="D481" s="2" t="n"/>
      <c r="E481" s="3" t="n"/>
      <c r="F481" s="3" t="n"/>
      <c r="G481" s="3" t="n"/>
      <c r="H481" s="4" t="n"/>
      <c r="L481" s="2" t="n"/>
      <c r="N481" s="2" t="n"/>
    </row>
    <row r="482">
      <c r="D482" s="2" t="n"/>
      <c r="E482" s="3" t="n"/>
      <c r="F482" s="3" t="n"/>
      <c r="G482" s="3" t="n"/>
      <c r="H482" s="4" t="n"/>
      <c r="L482" s="2" t="n"/>
      <c r="N482" s="2" t="n"/>
    </row>
    <row r="483">
      <c r="D483" s="2" t="n"/>
      <c r="E483" s="3" t="n"/>
      <c r="F483" s="3" t="n"/>
      <c r="G483" s="3" t="n"/>
      <c r="H483" s="4" t="n"/>
      <c r="L483" s="2" t="n"/>
      <c r="N483" s="2" t="n"/>
    </row>
    <row r="484">
      <c r="D484" s="2" t="n"/>
      <c r="E484" s="3" t="n"/>
      <c r="F484" s="3" t="n"/>
      <c r="G484" s="3" t="n"/>
      <c r="H484" s="4" t="n"/>
      <c r="L484" s="2" t="n"/>
      <c r="N484" s="2" t="n"/>
    </row>
    <row r="485">
      <c r="D485" s="2" t="n"/>
      <c r="E485" s="3" t="n"/>
      <c r="F485" s="3" t="n"/>
      <c r="G485" s="3" t="n"/>
      <c r="H485" s="4" t="n"/>
      <c r="L485" s="2" t="n"/>
      <c r="N485" s="2" t="n"/>
    </row>
    <row r="486">
      <c r="D486" s="2" t="n"/>
      <c r="E486" s="3" t="n"/>
      <c r="F486" s="3" t="n"/>
      <c r="G486" s="3" t="n"/>
      <c r="H486" s="4" t="n"/>
      <c r="L486" s="2" t="n"/>
      <c r="N486" s="2" t="n"/>
    </row>
    <row r="487">
      <c r="D487" s="2" t="n"/>
      <c r="E487" s="3" t="n"/>
      <c r="F487" s="3" t="n"/>
      <c r="G487" s="3" t="n"/>
      <c r="H487" s="4" t="n"/>
      <c r="L487" s="2" t="n"/>
      <c r="N487" s="2" t="n"/>
    </row>
    <row r="488">
      <c r="D488" s="2" t="n"/>
      <c r="E488" s="3" t="n"/>
      <c r="F488" s="3" t="n"/>
      <c r="G488" s="3" t="n"/>
      <c r="H488" s="4" t="n"/>
      <c r="L488" s="2" t="n"/>
      <c r="N488" s="2" t="n"/>
    </row>
    <row r="489">
      <c r="D489" s="2" t="n"/>
      <c r="E489" s="3" t="n"/>
      <c r="F489" s="3" t="n"/>
      <c r="G489" s="3" t="n"/>
      <c r="H489" s="4" t="n"/>
      <c r="L489" s="2" t="n"/>
      <c r="N489" s="2" t="n"/>
    </row>
    <row r="490">
      <c r="D490" s="2" t="n"/>
      <c r="E490" s="3" t="n"/>
      <c r="F490" s="3" t="n"/>
      <c r="G490" s="3" t="n"/>
      <c r="H490" s="4" t="n"/>
      <c r="L490" s="2" t="n"/>
      <c r="N490" s="2" t="n"/>
    </row>
    <row r="491">
      <c r="D491" s="2" t="n"/>
      <c r="E491" s="3" t="n"/>
      <c r="F491" s="3" t="n"/>
      <c r="G491" s="3" t="n"/>
      <c r="H491" s="4" t="n"/>
      <c r="L491" s="2" t="n"/>
      <c r="N491" s="2" t="n"/>
    </row>
    <row r="492">
      <c r="D492" s="2" t="n"/>
      <c r="E492" s="3" t="n"/>
      <c r="F492" s="3" t="n"/>
      <c r="G492" s="3" t="n"/>
      <c r="H492" s="4" t="n"/>
      <c r="L492" s="2" t="n"/>
      <c r="N492" s="2" t="n"/>
    </row>
    <row r="493">
      <c r="D493" s="2" t="n"/>
      <c r="E493" s="3" t="n"/>
      <c r="F493" s="3" t="n"/>
      <c r="G493" s="3" t="n"/>
      <c r="H493" s="4" t="n"/>
      <c r="L493" s="2" t="n"/>
      <c r="N493" s="2" t="n"/>
    </row>
    <row r="494">
      <c r="D494" s="2" t="n"/>
      <c r="E494" s="3" t="n"/>
      <c r="F494" s="3" t="n"/>
      <c r="G494" s="3" t="n"/>
      <c r="H494" s="4" t="n"/>
      <c r="L494" s="2" t="n"/>
      <c r="N494" s="2" t="n"/>
    </row>
    <row r="495">
      <c r="D495" s="2" t="n"/>
      <c r="E495" s="3" t="n"/>
      <c r="F495" s="3" t="n"/>
      <c r="G495" s="3" t="n"/>
      <c r="H495" s="4" t="n"/>
      <c r="L495" s="2" t="n"/>
      <c r="N495" s="2" t="n"/>
    </row>
    <row r="496">
      <c r="D496" s="2" t="n"/>
      <c r="E496" s="3" t="n"/>
      <c r="F496" s="3" t="n"/>
      <c r="G496" s="3" t="n"/>
      <c r="H496" s="4" t="n"/>
      <c r="L496" s="2" t="n"/>
      <c r="N496" s="2" t="n"/>
    </row>
    <row r="497">
      <c r="D497" s="2" t="n"/>
      <c r="E497" s="3" t="n"/>
      <c r="F497" s="3" t="n"/>
      <c r="G497" s="3" t="n"/>
      <c r="H497" s="4" t="n"/>
      <c r="L497" s="2" t="n"/>
      <c r="N497" s="2" t="n"/>
    </row>
    <row r="498">
      <c r="D498" s="2" t="n"/>
      <c r="E498" s="3" t="n"/>
      <c r="F498" s="3" t="n"/>
      <c r="G498" s="3" t="n"/>
      <c r="H498" s="4" t="n"/>
      <c r="L498" s="2" t="n"/>
      <c r="N498" s="2" t="n"/>
    </row>
    <row r="499">
      <c r="D499" s="2" t="n"/>
      <c r="E499" s="3" t="n"/>
      <c r="F499" s="3" t="n"/>
      <c r="G499" s="3" t="n"/>
      <c r="H499" s="4" t="n"/>
      <c r="L499" s="2" t="n"/>
      <c r="N499" s="2" t="n"/>
    </row>
    <row r="500">
      <c r="D500" s="2" t="n"/>
      <c r="E500" s="3" t="n"/>
      <c r="F500" s="3" t="n"/>
      <c r="G500" s="3" t="n"/>
      <c r="H500" s="4" t="n"/>
      <c r="L500" s="2" t="n"/>
      <c r="N500" s="2" t="n"/>
    </row>
    <row r="501">
      <c r="D501" s="2" t="n"/>
      <c r="E501" s="3" t="n"/>
      <c r="F501" s="3" t="n"/>
      <c r="G501" s="3" t="n"/>
      <c r="H501" s="4" t="n"/>
      <c r="L501" s="2" t="n"/>
      <c r="N501" s="2" t="n"/>
    </row>
    <row r="502">
      <c r="D502" s="2" t="n"/>
      <c r="E502" s="3" t="n"/>
      <c r="F502" s="3" t="n"/>
      <c r="G502" s="3" t="n"/>
      <c r="H502" s="4" t="n"/>
      <c r="L502" s="2" t="n"/>
      <c r="N502" s="2" t="n"/>
    </row>
    <row r="503">
      <c r="D503" s="2" t="n"/>
      <c r="E503" s="3" t="n"/>
      <c r="F503" s="3" t="n"/>
      <c r="G503" s="3" t="n"/>
      <c r="H503" s="4" t="n"/>
      <c r="L503" s="2" t="n"/>
      <c r="N503" s="2" t="n"/>
    </row>
    <row r="504">
      <c r="D504" s="2" t="n"/>
      <c r="E504" s="3" t="n"/>
      <c r="F504" s="3" t="n"/>
      <c r="G504" s="3" t="n"/>
      <c r="H504" s="4" t="n"/>
      <c r="L504" s="2" t="n"/>
      <c r="N504" s="2" t="n"/>
    </row>
    <row r="505">
      <c r="D505" s="2" t="n"/>
      <c r="E505" s="3" t="n"/>
      <c r="F505" s="3" t="n"/>
      <c r="G505" s="3" t="n"/>
      <c r="H505" s="4" t="n"/>
      <c r="L505" s="2" t="n"/>
      <c r="N505" s="2" t="n"/>
    </row>
    <row r="506">
      <c r="D506" s="2" t="n"/>
      <c r="E506" s="3" t="n"/>
      <c r="F506" s="3" t="n"/>
      <c r="G506" s="3" t="n"/>
      <c r="H506" s="4" t="n"/>
      <c r="L506" s="2" t="n"/>
      <c r="N506" s="2" t="n"/>
    </row>
    <row r="507">
      <c r="D507" s="2" t="n"/>
      <c r="E507" s="3" t="n"/>
      <c r="F507" s="3" t="n"/>
      <c r="G507" s="3" t="n"/>
      <c r="H507" s="4" t="n"/>
      <c r="L507" s="2" t="n"/>
      <c r="N507" s="2" t="n"/>
    </row>
    <row r="508">
      <c r="D508" s="2" t="n"/>
      <c r="E508" s="3" t="n"/>
      <c r="F508" s="3" t="n"/>
      <c r="G508" s="3" t="n"/>
      <c r="H508" s="4" t="n"/>
      <c r="L508" s="2" t="n"/>
      <c r="N508" s="2" t="n"/>
    </row>
    <row r="509">
      <c r="D509" s="2" t="n"/>
      <c r="E509" s="3" t="n"/>
      <c r="F509" s="3" t="n"/>
      <c r="G509" s="3" t="n"/>
      <c r="H509" s="4" t="n"/>
      <c r="L509" s="2" t="n"/>
      <c r="N509" s="2" t="n"/>
    </row>
    <row r="510">
      <c r="D510" s="2" t="n"/>
      <c r="E510" s="3" t="n"/>
      <c r="F510" s="3" t="n"/>
      <c r="G510" s="3" t="n"/>
      <c r="H510" s="4" t="n"/>
      <c r="L510" s="2" t="n"/>
      <c r="N510" s="2" t="n"/>
    </row>
    <row r="511">
      <c r="D511" s="2" t="n"/>
      <c r="E511" s="3" t="n"/>
      <c r="F511" s="3" t="n"/>
      <c r="G511" s="3" t="n"/>
      <c r="H511" s="4" t="n"/>
      <c r="L511" s="2" t="n"/>
      <c r="N511" s="2" t="n"/>
    </row>
    <row r="512">
      <c r="D512" s="2" t="n"/>
      <c r="E512" s="3" t="n"/>
      <c r="F512" s="3" t="n"/>
      <c r="G512" s="3" t="n"/>
      <c r="H512" s="4" t="n"/>
      <c r="L512" s="2" t="n"/>
      <c r="N512" s="2" t="n"/>
    </row>
    <row r="513">
      <c r="D513" s="2" t="n"/>
      <c r="E513" s="3" t="n"/>
      <c r="F513" s="3" t="n"/>
      <c r="G513" s="3" t="n"/>
      <c r="H513" s="4" t="n"/>
      <c r="L513" s="2" t="n"/>
      <c r="N513" s="2" t="n"/>
    </row>
    <row r="514">
      <c r="D514" s="2" t="n"/>
      <c r="E514" s="3" t="n"/>
      <c r="F514" s="3" t="n"/>
      <c r="G514" s="3" t="n"/>
      <c r="H514" s="4" t="n"/>
      <c r="L514" s="2" t="n"/>
      <c r="N514" s="2" t="n"/>
    </row>
    <row r="515">
      <c r="D515" s="2" t="n"/>
      <c r="E515" s="3" t="n"/>
      <c r="F515" s="3" t="n"/>
      <c r="G515" s="3" t="n"/>
      <c r="H515" s="4" t="n"/>
      <c r="L515" s="2" t="n"/>
      <c r="N515" s="2" t="n"/>
    </row>
    <row r="516">
      <c r="D516" s="2" t="n"/>
      <c r="E516" s="3" t="n"/>
      <c r="F516" s="3" t="n"/>
      <c r="G516" s="3" t="n"/>
      <c r="H516" s="4" t="n"/>
      <c r="L516" s="2" t="n"/>
      <c r="N516" s="2" t="n"/>
    </row>
    <row r="517">
      <c r="D517" s="2" t="n"/>
      <c r="E517" s="3" t="n"/>
      <c r="F517" s="3" t="n"/>
      <c r="G517" s="3" t="n"/>
      <c r="H517" s="4" t="n"/>
      <c r="L517" s="2" t="n"/>
      <c r="N517" s="2" t="n"/>
    </row>
    <row r="518">
      <c r="D518" s="2" t="n"/>
      <c r="E518" s="3" t="n"/>
      <c r="F518" s="3" t="n"/>
      <c r="G518" s="3" t="n"/>
      <c r="H518" s="4" t="n"/>
      <c r="L518" s="2" t="n"/>
      <c r="N518" s="2" t="n"/>
    </row>
    <row r="519">
      <c r="D519" s="2" t="n"/>
      <c r="E519" s="3" t="n"/>
      <c r="F519" s="3" t="n"/>
      <c r="G519" s="3" t="n"/>
      <c r="H519" s="4" t="n"/>
      <c r="L519" s="2" t="n"/>
      <c r="N519" s="2" t="n"/>
    </row>
    <row r="520">
      <c r="D520" s="2" t="n"/>
      <c r="E520" s="3" t="n"/>
      <c r="F520" s="3" t="n"/>
      <c r="G520" s="3" t="n"/>
      <c r="H520" s="4" t="n"/>
      <c r="L520" s="2" t="n"/>
      <c r="N520" s="2" t="n"/>
    </row>
    <row r="521">
      <c r="D521" s="2" t="n"/>
      <c r="E521" s="3" t="n"/>
      <c r="F521" s="3" t="n"/>
      <c r="G521" s="3" t="n"/>
      <c r="H521" s="4" t="n"/>
      <c r="L521" s="2" t="n"/>
      <c r="N521" s="2" t="n"/>
    </row>
    <row r="522">
      <c r="D522" s="2" t="n"/>
      <c r="E522" s="3" t="n"/>
      <c r="F522" s="3" t="n"/>
      <c r="G522" s="3" t="n"/>
      <c r="H522" s="4" t="n"/>
      <c r="L522" s="2" t="n"/>
      <c r="N522" s="2" t="n"/>
    </row>
    <row r="523">
      <c r="D523" s="2" t="n"/>
      <c r="E523" s="3" t="n"/>
      <c r="F523" s="3" t="n"/>
      <c r="G523" s="3" t="n"/>
      <c r="H523" s="4" t="n"/>
      <c r="L523" s="2" t="n"/>
      <c r="N523" s="2" t="n"/>
    </row>
    <row r="524">
      <c r="D524" s="2" t="n"/>
      <c r="E524" s="3" t="n"/>
      <c r="F524" s="3" t="n"/>
      <c r="G524" s="3" t="n"/>
      <c r="H524" s="4" t="n"/>
      <c r="L524" s="2" t="n"/>
      <c r="N524" s="2" t="n"/>
    </row>
    <row r="525">
      <c r="D525" s="2" t="n"/>
      <c r="E525" s="3" t="n"/>
      <c r="F525" s="3" t="n"/>
      <c r="G525" s="3" t="n"/>
      <c r="H525" s="4" t="n"/>
      <c r="L525" s="2" t="n"/>
      <c r="N525" s="2" t="n"/>
    </row>
    <row r="526">
      <c r="D526" s="2" t="n"/>
      <c r="E526" s="3" t="n"/>
      <c r="F526" s="3" t="n"/>
      <c r="G526" s="3" t="n"/>
      <c r="H526" s="4" t="n"/>
      <c r="L526" s="2" t="n"/>
      <c r="N526" s="2" t="n"/>
    </row>
    <row r="527">
      <c r="D527" s="2" t="n"/>
      <c r="E527" s="3" t="n"/>
      <c r="F527" s="3" t="n"/>
      <c r="G527" s="3" t="n"/>
      <c r="H527" s="4" t="n"/>
      <c r="L527" s="2" t="n"/>
      <c r="N527" s="2" t="n"/>
    </row>
    <row r="528">
      <c r="D528" s="2" t="n"/>
      <c r="E528" s="3" t="n"/>
      <c r="F528" s="3" t="n"/>
      <c r="G528" s="3" t="n"/>
      <c r="H528" s="4" t="n"/>
      <c r="L528" s="2" t="n"/>
      <c r="N528" s="2" t="n"/>
    </row>
    <row r="529">
      <c r="D529" s="2" t="n"/>
      <c r="E529" s="3" t="n"/>
      <c r="F529" s="3" t="n"/>
      <c r="G529" s="3" t="n"/>
      <c r="H529" s="4" t="n"/>
      <c r="L529" s="2" t="n"/>
      <c r="N529" s="2" t="n"/>
    </row>
    <row r="530">
      <c r="D530" s="2" t="n"/>
      <c r="E530" s="3" t="n"/>
      <c r="F530" s="3" t="n"/>
      <c r="G530" s="3" t="n"/>
      <c r="H530" s="4" t="n"/>
      <c r="L530" s="2" t="n"/>
      <c r="N530" s="2" t="n"/>
    </row>
    <row r="531">
      <c r="D531" s="2" t="n"/>
      <c r="E531" s="3" t="n"/>
      <c r="F531" s="3" t="n"/>
      <c r="G531" s="3" t="n"/>
      <c r="H531" s="4" t="n"/>
      <c r="L531" s="2" t="n"/>
      <c r="N531" s="2" t="n"/>
    </row>
    <row r="532">
      <c r="D532" s="2" t="n"/>
      <c r="E532" s="3" t="n"/>
      <c r="F532" s="3" t="n"/>
      <c r="G532" s="3" t="n"/>
      <c r="H532" s="4" t="n"/>
      <c r="L532" s="2" t="n"/>
      <c r="N532" s="2" t="n"/>
    </row>
    <row r="533">
      <c r="D533" s="2" t="n"/>
      <c r="E533" s="3" t="n"/>
      <c r="F533" s="3" t="n"/>
      <c r="G533" s="3" t="n"/>
      <c r="H533" s="4" t="n"/>
      <c r="L533" s="2" t="n"/>
      <c r="N533" s="2" t="n"/>
    </row>
    <row r="534">
      <c r="D534" s="2" t="n"/>
      <c r="E534" s="3" t="n"/>
      <c r="F534" s="3" t="n"/>
      <c r="G534" s="3" t="n"/>
      <c r="H534" s="4" t="n"/>
      <c r="L534" s="2" t="n"/>
      <c r="N534" s="2" t="n"/>
    </row>
    <row r="535">
      <c r="D535" s="2" t="n"/>
      <c r="E535" s="3" t="n"/>
      <c r="F535" s="3" t="n"/>
      <c r="G535" s="3" t="n"/>
      <c r="H535" s="4" t="n"/>
      <c r="L535" s="2" t="n"/>
      <c r="N535" s="2" t="n"/>
    </row>
    <row r="536">
      <c r="D536" s="2" t="n"/>
      <c r="E536" s="3" t="n"/>
      <c r="F536" s="3" t="n"/>
      <c r="G536" s="3" t="n"/>
      <c r="H536" s="4" t="n"/>
      <c r="L536" s="2" t="n"/>
      <c r="N536" s="2" t="n"/>
    </row>
    <row r="537">
      <c r="D537" s="2" t="n"/>
      <c r="E537" s="3" t="n"/>
      <c r="F537" s="3" t="n"/>
      <c r="G537" s="3" t="n"/>
      <c r="H537" s="4" t="n"/>
      <c r="L537" s="2" t="n"/>
      <c r="N537" s="2" t="n"/>
    </row>
    <row r="538">
      <c r="D538" s="2" t="n"/>
      <c r="E538" s="3" t="n"/>
      <c r="F538" s="3" t="n"/>
      <c r="G538" s="3" t="n"/>
      <c r="H538" s="4" t="n"/>
      <c r="L538" s="2" t="n"/>
      <c r="N538" s="2" t="n"/>
    </row>
    <row r="539">
      <c r="D539" s="2" t="n"/>
      <c r="E539" s="3" t="n"/>
      <c r="F539" s="3" t="n"/>
      <c r="G539" s="3" t="n"/>
      <c r="H539" s="4" t="n"/>
      <c r="L539" s="2" t="n"/>
      <c r="N539" s="2" t="n"/>
    </row>
    <row r="540">
      <c r="D540" s="2" t="n"/>
      <c r="E540" s="3" t="n"/>
      <c r="F540" s="3" t="n"/>
      <c r="G540" s="3" t="n"/>
      <c r="H540" s="4" t="n"/>
      <c r="L540" s="2" t="n"/>
      <c r="N540" s="2" t="n"/>
    </row>
    <row r="541">
      <c r="D541" s="2" t="n"/>
      <c r="E541" s="3" t="n"/>
      <c r="F541" s="3" t="n"/>
      <c r="G541" s="3" t="n"/>
      <c r="H541" s="4" t="n"/>
      <c r="L541" s="2" t="n"/>
      <c r="N541" s="2" t="n"/>
    </row>
    <row r="542">
      <c r="D542" s="2" t="n"/>
      <c r="E542" s="3" t="n"/>
      <c r="F542" s="3" t="n"/>
      <c r="G542" s="3" t="n"/>
      <c r="H542" s="4" t="n"/>
      <c r="L542" s="2" t="n"/>
      <c r="N542" s="2" t="n"/>
    </row>
    <row r="543">
      <c r="D543" s="2" t="n"/>
      <c r="E543" s="3" t="n"/>
      <c r="F543" s="3" t="n"/>
      <c r="G543" s="3" t="n"/>
      <c r="H543" s="4" t="n"/>
      <c r="L543" s="2" t="n"/>
      <c r="N543" s="2" t="n"/>
    </row>
    <row r="544">
      <c r="D544" s="2" t="n"/>
      <c r="E544" s="3" t="n"/>
      <c r="F544" s="3" t="n"/>
      <c r="G544" s="3" t="n"/>
      <c r="H544" s="4" t="n"/>
      <c r="L544" s="2" t="n"/>
      <c r="N544" s="2" t="n"/>
    </row>
    <row r="545">
      <c r="D545" s="2" t="n"/>
      <c r="E545" s="3" t="n"/>
      <c r="F545" s="3" t="n"/>
      <c r="G545" s="3" t="n"/>
      <c r="H545" s="4" t="n"/>
      <c r="L545" s="2" t="n"/>
      <c r="N545" s="2" t="n"/>
    </row>
    <row r="546">
      <c r="D546" s="2" t="n"/>
      <c r="E546" s="3" t="n"/>
      <c r="F546" s="3" t="n"/>
      <c r="G546" s="3" t="n"/>
      <c r="H546" s="4" t="n"/>
      <c r="L546" s="2" t="n"/>
      <c r="N546" s="2" t="n"/>
    </row>
    <row r="547">
      <c r="D547" s="2" t="n"/>
      <c r="E547" s="3" t="n"/>
      <c r="F547" s="3" t="n"/>
      <c r="G547" s="3" t="n"/>
      <c r="H547" s="4" t="n"/>
      <c r="L547" s="2" t="n"/>
      <c r="N547" s="2" t="n"/>
    </row>
    <row r="548">
      <c r="D548" s="2" t="n"/>
      <c r="E548" s="3" t="n"/>
      <c r="F548" s="3" t="n"/>
      <c r="G548" s="3" t="n"/>
      <c r="H548" s="4" t="n"/>
      <c r="L548" s="2" t="n"/>
      <c r="N548" s="2" t="n"/>
    </row>
    <row r="549">
      <c r="D549" s="2" t="n"/>
      <c r="E549" s="3" t="n"/>
      <c r="F549" s="3" t="n"/>
      <c r="G549" s="3" t="n"/>
      <c r="H549" s="4" t="n"/>
      <c r="L549" s="2" t="n"/>
      <c r="N549" s="2" t="n"/>
    </row>
    <row r="550">
      <c r="D550" s="2" t="n"/>
      <c r="E550" s="3" t="n"/>
      <c r="F550" s="3" t="n"/>
      <c r="G550" s="3" t="n"/>
      <c r="H550" s="4" t="n"/>
      <c r="L550" s="2" t="n"/>
      <c r="N550" s="2" t="n"/>
    </row>
    <row r="551">
      <c r="D551" s="2" t="n"/>
      <c r="E551" s="3" t="n"/>
      <c r="F551" s="3" t="n"/>
      <c r="G551" s="3" t="n"/>
      <c r="H551" s="4" t="n"/>
      <c r="L551" s="2" t="n"/>
      <c r="N551" s="2" t="n"/>
    </row>
    <row r="552">
      <c r="D552" s="2" t="n"/>
      <c r="E552" s="3" t="n"/>
      <c r="F552" s="3" t="n"/>
      <c r="G552" s="3" t="n"/>
      <c r="H552" s="4" t="n"/>
      <c r="L552" s="2" t="n"/>
      <c r="N552" s="2" t="n"/>
    </row>
    <row r="553">
      <c r="D553" s="2" t="n"/>
      <c r="E553" s="3" t="n"/>
      <c r="F553" s="3" t="n"/>
      <c r="G553" s="3" t="n"/>
      <c r="H553" s="4" t="n"/>
      <c r="L553" s="2" t="n"/>
      <c r="N553" s="2" t="n"/>
    </row>
    <row r="554">
      <c r="D554" s="2" t="n"/>
      <c r="E554" s="3" t="n"/>
      <c r="F554" s="3" t="n"/>
      <c r="G554" s="3" t="n"/>
      <c r="H554" s="4" t="n"/>
      <c r="L554" s="2" t="n"/>
      <c r="N554" s="2" t="n"/>
    </row>
    <row r="555">
      <c r="D555" s="2" t="n"/>
      <c r="E555" s="3" t="n"/>
      <c r="F555" s="3" t="n"/>
      <c r="G555" s="3" t="n"/>
      <c r="H555" s="4" t="n"/>
      <c r="L555" s="2" t="n"/>
      <c r="N555" s="2" t="n"/>
    </row>
    <row r="556">
      <c r="D556" s="2" t="n"/>
      <c r="E556" s="3" t="n"/>
      <c r="F556" s="3" t="n"/>
      <c r="G556" s="3" t="n"/>
      <c r="H556" s="4" t="n"/>
      <c r="L556" s="2" t="n"/>
      <c r="N556" s="2" t="n"/>
    </row>
    <row r="557">
      <c r="D557" s="2" t="n"/>
      <c r="E557" s="3" t="n"/>
      <c r="F557" s="3" t="n"/>
      <c r="G557" s="3" t="n"/>
      <c r="H557" s="4" t="n"/>
      <c r="L557" s="2" t="n"/>
      <c r="N557" s="2" t="n"/>
    </row>
    <row r="558">
      <c r="D558" s="2" t="n"/>
      <c r="E558" s="3" t="n"/>
      <c r="F558" s="3" t="n"/>
      <c r="G558" s="3" t="n"/>
      <c r="H558" s="4" t="n"/>
      <c r="L558" s="2" t="n"/>
      <c r="N558" s="2" t="n"/>
    </row>
    <row r="559">
      <c r="D559" s="2" t="n"/>
      <c r="E559" s="3" t="n"/>
      <c r="F559" s="3" t="n"/>
      <c r="G559" s="3" t="n"/>
      <c r="H559" s="4" t="n"/>
      <c r="L559" s="2" t="n"/>
      <c r="N559" s="2" t="n"/>
    </row>
    <row r="560">
      <c r="D560" s="2" t="n"/>
      <c r="E560" s="3" t="n"/>
      <c r="F560" s="3" t="n"/>
      <c r="G560" s="3" t="n"/>
      <c r="H560" s="4" t="n"/>
      <c r="L560" s="2" t="n"/>
      <c r="N560" s="2" t="n"/>
    </row>
    <row r="561">
      <c r="D561" s="2" t="n"/>
      <c r="E561" s="3" t="n"/>
      <c r="F561" s="3" t="n"/>
      <c r="G561" s="3" t="n"/>
      <c r="H561" s="4" t="n"/>
      <c r="L561" s="2" t="n"/>
      <c r="N561" s="2" t="n"/>
    </row>
    <row r="562">
      <c r="D562" s="2" t="n"/>
      <c r="E562" s="3" t="n"/>
      <c r="F562" s="3" t="n"/>
      <c r="G562" s="3" t="n"/>
      <c r="H562" s="4" t="n"/>
      <c r="L562" s="2" t="n"/>
      <c r="N562" s="2" t="n"/>
    </row>
    <row r="563">
      <c r="D563" s="2" t="n"/>
      <c r="E563" s="3" t="n"/>
      <c r="F563" s="3" t="n"/>
      <c r="G563" s="3" t="n"/>
      <c r="H563" s="4" t="n"/>
      <c r="L563" s="2" t="n"/>
      <c r="N563" s="2" t="n"/>
    </row>
    <row r="564">
      <c r="D564" s="2" t="n"/>
      <c r="E564" s="3" t="n"/>
      <c r="F564" s="3" t="n"/>
      <c r="G564" s="3" t="n"/>
      <c r="H564" s="4" t="n"/>
      <c r="L564" s="2" t="n"/>
      <c r="N564" s="2" t="n"/>
    </row>
    <row r="565">
      <c r="D565" s="2" t="n"/>
      <c r="E565" s="3" t="n"/>
      <c r="F565" s="3" t="n"/>
      <c r="G565" s="3" t="n"/>
      <c r="H565" s="4" t="n"/>
      <c r="L565" s="2" t="n"/>
      <c r="N565" s="2" t="n"/>
    </row>
    <row r="566">
      <c r="D566" s="2" t="n"/>
      <c r="E566" s="3" t="n"/>
      <c r="F566" s="3" t="n"/>
      <c r="G566" s="3" t="n"/>
      <c r="H566" s="4" t="n"/>
      <c r="L566" s="2" t="n"/>
      <c r="N566" s="2" t="n"/>
    </row>
    <row r="567">
      <c r="D567" s="2" t="n"/>
      <c r="E567" s="3" t="n"/>
      <c r="F567" s="3" t="n"/>
      <c r="G567" s="3" t="n"/>
      <c r="H567" s="4" t="n"/>
      <c r="L567" s="2" t="n"/>
      <c r="N567" s="2" t="n"/>
    </row>
    <row r="568">
      <c r="D568" s="2" t="n"/>
      <c r="E568" s="3" t="n"/>
      <c r="F568" s="3" t="n"/>
      <c r="G568" s="3" t="n"/>
      <c r="H568" s="4" t="n"/>
      <c r="L568" s="2" t="n"/>
      <c r="N568" s="2" t="n"/>
    </row>
    <row r="569">
      <c r="D569" s="2" t="n"/>
      <c r="E569" s="3" t="n"/>
      <c r="F569" s="3" t="n"/>
      <c r="G569" s="3" t="n"/>
      <c r="H569" s="4" t="n"/>
      <c r="L569" s="2" t="n"/>
      <c r="N569" s="2" t="n"/>
    </row>
    <row r="570">
      <c r="D570" s="2" t="n"/>
      <c r="E570" s="3" t="n"/>
      <c r="F570" s="3" t="n"/>
      <c r="G570" s="3" t="n"/>
      <c r="H570" s="4" t="n"/>
      <c r="L570" s="2" t="n"/>
      <c r="N570" s="2" t="n"/>
    </row>
    <row r="571">
      <c r="D571" s="2" t="n"/>
      <c r="E571" s="3" t="n"/>
      <c r="F571" s="3" t="n"/>
      <c r="G571" s="3" t="n"/>
      <c r="H571" s="4" t="n"/>
      <c r="L571" s="2" t="n"/>
      <c r="N571" s="2" t="n"/>
    </row>
    <row r="572">
      <c r="D572" s="2" t="n"/>
      <c r="E572" s="3" t="n"/>
      <c r="F572" s="3" t="n"/>
      <c r="G572" s="3" t="n"/>
      <c r="H572" s="4" t="n"/>
      <c r="L572" s="2" t="n"/>
      <c r="N572" s="2" t="n"/>
    </row>
    <row r="573">
      <c r="D573" s="2" t="n"/>
      <c r="E573" s="3" t="n"/>
      <c r="F573" s="3" t="n"/>
      <c r="G573" s="3" t="n"/>
      <c r="H573" s="4" t="n"/>
      <c r="L573" s="2" t="n"/>
      <c r="N573" s="2" t="n"/>
    </row>
    <row r="574">
      <c r="D574" s="2" t="n"/>
      <c r="E574" s="3" t="n"/>
      <c r="F574" s="3" t="n"/>
      <c r="G574" s="3" t="n"/>
      <c r="H574" s="4" t="n"/>
      <c r="L574" s="2" t="n"/>
      <c r="N574" s="2" t="n"/>
    </row>
    <row r="575">
      <c r="D575" s="2" t="n"/>
      <c r="E575" s="3" t="n"/>
      <c r="F575" s="3" t="n"/>
      <c r="G575" s="3" t="n"/>
      <c r="H575" s="4" t="n"/>
      <c r="L575" s="2" t="n"/>
      <c r="N575" s="2" t="n"/>
    </row>
    <row r="576">
      <c r="D576" s="2" t="n"/>
      <c r="E576" s="3" t="n"/>
      <c r="F576" s="3" t="n"/>
      <c r="G576" s="3" t="n"/>
      <c r="H576" s="4" t="n"/>
      <c r="L576" s="2" t="n"/>
      <c r="N576" s="2" t="n"/>
    </row>
    <row r="577">
      <c r="D577" s="2" t="n"/>
      <c r="E577" s="3" t="n"/>
      <c r="F577" s="3" t="n"/>
      <c r="G577" s="3" t="n"/>
      <c r="H577" s="4" t="n"/>
      <c r="L577" s="2" t="n"/>
      <c r="N577" s="2" t="n"/>
    </row>
    <row r="578">
      <c r="D578" s="2" t="n"/>
      <c r="E578" s="3" t="n"/>
      <c r="F578" s="3" t="n"/>
      <c r="G578" s="3" t="n"/>
      <c r="H578" s="4" t="n"/>
      <c r="L578" s="2" t="n"/>
      <c r="N578" s="2" t="n"/>
    </row>
    <row r="579">
      <c r="D579" s="2" t="n"/>
      <c r="E579" s="3" t="n"/>
      <c r="F579" s="3" t="n"/>
      <c r="G579" s="3" t="n"/>
      <c r="H579" s="4" t="n"/>
      <c r="L579" s="2" t="n"/>
      <c r="N579" s="2" t="n"/>
    </row>
    <row r="580">
      <c r="D580" s="2" t="n"/>
      <c r="E580" s="3" t="n"/>
      <c r="F580" s="3" t="n"/>
      <c r="G580" s="3" t="n"/>
      <c r="H580" s="4" t="n"/>
      <c r="L580" s="2" t="n"/>
      <c r="N580" s="2" t="n"/>
    </row>
    <row r="581">
      <c r="D581" s="2" t="n"/>
      <c r="E581" s="3" t="n"/>
      <c r="F581" s="3" t="n"/>
      <c r="G581" s="3" t="n"/>
      <c r="H581" s="4" t="n"/>
      <c r="L581" s="2" t="n"/>
      <c r="N581" s="2" t="n"/>
    </row>
    <row r="582">
      <c r="D582" s="2" t="n"/>
      <c r="E582" s="3" t="n"/>
      <c r="F582" s="3" t="n"/>
      <c r="G582" s="3" t="n"/>
      <c r="H582" s="4" t="n"/>
      <c r="L582" s="2" t="n"/>
      <c r="N582" s="2" t="n"/>
    </row>
    <row r="583">
      <c r="D583" s="2" t="n"/>
      <c r="E583" s="3" t="n"/>
      <c r="F583" s="3" t="n"/>
      <c r="G583" s="3" t="n"/>
      <c r="H583" s="4" t="n"/>
      <c r="L583" s="2" t="n"/>
      <c r="N583" s="2" t="n"/>
    </row>
    <row r="584">
      <c r="D584" s="2" t="n"/>
      <c r="E584" s="3" t="n"/>
      <c r="F584" s="3" t="n"/>
      <c r="G584" s="3" t="n"/>
      <c r="H584" s="4" t="n"/>
      <c r="L584" s="2" t="n"/>
      <c r="N584" s="2" t="n"/>
    </row>
    <row r="585">
      <c r="D585" s="2" t="n"/>
      <c r="E585" s="3" t="n"/>
      <c r="F585" s="3" t="n"/>
      <c r="G585" s="3" t="n"/>
      <c r="H585" s="4" t="n"/>
      <c r="L585" s="2" t="n"/>
      <c r="N585" s="2" t="n"/>
    </row>
    <row r="586">
      <c r="D586" s="2" t="n"/>
      <c r="E586" s="3" t="n"/>
      <c r="F586" s="3" t="n"/>
      <c r="G586" s="3" t="n"/>
      <c r="H586" s="4" t="n"/>
      <c r="L586" s="2" t="n"/>
      <c r="N586" s="2" t="n"/>
    </row>
    <row r="587">
      <c r="D587" s="2" t="n"/>
      <c r="E587" s="3" t="n"/>
      <c r="F587" s="3" t="n"/>
      <c r="G587" s="3" t="n"/>
      <c r="H587" s="4" t="n"/>
      <c r="L587" s="2" t="n"/>
      <c r="N587" s="2" t="n"/>
    </row>
    <row r="588">
      <c r="D588" s="2" t="n"/>
      <c r="E588" s="3" t="n"/>
      <c r="F588" s="3" t="n"/>
      <c r="G588" s="3" t="n"/>
      <c r="H588" s="4" t="n"/>
      <c r="L588" s="2" t="n"/>
      <c r="N588" s="2" t="n"/>
    </row>
    <row r="589">
      <c r="D589" s="2" t="n"/>
      <c r="E589" s="3" t="n"/>
      <c r="F589" s="3" t="n"/>
      <c r="G589" s="3" t="n"/>
      <c r="H589" s="4" t="n"/>
      <c r="L589" s="2" t="n"/>
      <c r="N589" s="2" t="n"/>
    </row>
    <row r="590">
      <c r="D590" s="2" t="n"/>
      <c r="E590" s="3" t="n"/>
      <c r="F590" s="3" t="n"/>
      <c r="G590" s="3" t="n"/>
      <c r="H590" s="4" t="n"/>
      <c r="L590" s="2" t="n"/>
      <c r="N590" s="2" t="n"/>
    </row>
    <row r="591">
      <c r="D591" s="2" t="n"/>
      <c r="E591" s="3" t="n"/>
      <c r="F591" s="3" t="n"/>
      <c r="G591" s="3" t="n"/>
      <c r="H591" s="4" t="n"/>
      <c r="L591" s="2" t="n"/>
      <c r="N591" s="2" t="n"/>
    </row>
    <row r="592">
      <c r="D592" s="2" t="n"/>
      <c r="E592" s="3" t="n"/>
      <c r="F592" s="3" t="n"/>
      <c r="G592" s="3" t="n"/>
      <c r="H592" s="4" t="n"/>
      <c r="L592" s="2" t="n"/>
      <c r="N592" s="2" t="n"/>
    </row>
    <row r="593">
      <c r="D593" s="2" t="n"/>
      <c r="E593" s="3" t="n"/>
      <c r="F593" s="3" t="n"/>
      <c r="G593" s="3" t="n"/>
      <c r="H593" s="4" t="n"/>
      <c r="L593" s="2" t="n"/>
      <c r="N593" s="2" t="n"/>
    </row>
    <row r="594">
      <c r="D594" s="2" t="n"/>
      <c r="E594" s="3" t="n"/>
      <c r="F594" s="3" t="n"/>
      <c r="G594" s="3" t="n"/>
      <c r="H594" s="4" t="n"/>
      <c r="L594" s="2" t="n"/>
      <c r="N594" s="2" t="n"/>
    </row>
    <row r="595">
      <c r="D595" s="2" t="n"/>
      <c r="E595" s="3" t="n"/>
      <c r="F595" s="3" t="n"/>
      <c r="G595" s="3" t="n"/>
      <c r="H595" s="4" t="n"/>
      <c r="L595" s="2" t="n"/>
      <c r="N595" s="2" t="n"/>
    </row>
    <row r="596">
      <c r="D596" s="2" t="n"/>
      <c r="E596" s="3" t="n"/>
      <c r="F596" s="3" t="n"/>
      <c r="G596" s="3" t="n"/>
      <c r="H596" s="4" t="n"/>
      <c r="L596" s="2" t="n"/>
      <c r="N596" s="2" t="n"/>
    </row>
    <row r="597">
      <c r="D597" s="2" t="n"/>
      <c r="E597" s="3" t="n"/>
      <c r="F597" s="3" t="n"/>
      <c r="G597" s="3" t="n"/>
      <c r="H597" s="4" t="n"/>
      <c r="L597" s="2" t="n"/>
      <c r="N597" s="2" t="n"/>
    </row>
    <row r="598">
      <c r="D598" s="2" t="n"/>
      <c r="E598" s="3" t="n"/>
      <c r="F598" s="3" t="n"/>
      <c r="G598" s="3" t="n"/>
      <c r="H598" s="4" t="n"/>
      <c r="L598" s="2" t="n"/>
      <c r="N598" s="2" t="n"/>
    </row>
    <row r="599">
      <c r="D599" s="2" t="n"/>
      <c r="E599" s="3" t="n"/>
      <c r="F599" s="3" t="n"/>
      <c r="G599" s="3" t="n"/>
      <c r="H599" s="4" t="n"/>
      <c r="L599" s="2" t="n"/>
      <c r="N599" s="2" t="n"/>
    </row>
    <row r="600">
      <c r="D600" s="2" t="n"/>
      <c r="E600" s="3" t="n"/>
      <c r="F600" s="3" t="n"/>
      <c r="G600" s="3" t="n"/>
      <c r="H600" s="4" t="n"/>
      <c r="L600" s="2" t="n"/>
      <c r="N600" s="2" t="n"/>
    </row>
    <row r="601">
      <c r="D601" s="2" t="n"/>
      <c r="E601" s="3" t="n"/>
      <c r="F601" s="3" t="n"/>
      <c r="G601" s="3" t="n"/>
      <c r="H601" s="4" t="n"/>
      <c r="L601" s="2" t="n"/>
      <c r="N601" s="2" t="n"/>
    </row>
    <row r="602">
      <c r="D602" s="2" t="n"/>
      <c r="E602" s="3" t="n"/>
      <c r="F602" s="3" t="n"/>
      <c r="G602" s="3" t="n"/>
      <c r="H602" s="4" t="n"/>
      <c r="L602" s="2" t="n"/>
      <c r="N602" s="2" t="n"/>
    </row>
    <row r="603">
      <c r="D603" s="2" t="n"/>
      <c r="E603" s="3" t="n"/>
      <c r="F603" s="3" t="n"/>
      <c r="G603" s="3" t="n"/>
      <c r="H603" s="4" t="n"/>
      <c r="L603" s="2" t="n"/>
      <c r="N603" s="2" t="n"/>
    </row>
    <row r="604">
      <c r="D604" s="2" t="n"/>
      <c r="E604" s="3" t="n"/>
      <c r="F604" s="3" t="n"/>
      <c r="G604" s="3" t="n"/>
      <c r="H604" s="4" t="n"/>
      <c r="L604" s="2" t="n"/>
      <c r="N604" s="2" t="n"/>
    </row>
    <row r="605">
      <c r="D605" s="2" t="n"/>
      <c r="E605" s="3" t="n"/>
      <c r="F605" s="3" t="n"/>
      <c r="G605" s="3" t="n"/>
      <c r="H605" s="4" t="n"/>
      <c r="L605" s="2" t="n"/>
      <c r="N605" s="2" t="n"/>
    </row>
    <row r="606">
      <c r="D606" s="2" t="n"/>
      <c r="E606" s="3" t="n"/>
      <c r="F606" s="3" t="n"/>
      <c r="G606" s="3" t="n"/>
      <c r="H606" s="4" t="n"/>
      <c r="L606" s="2" t="n"/>
      <c r="N606" s="2" t="n"/>
    </row>
    <row r="607">
      <c r="D607" s="2" t="n"/>
      <c r="E607" s="3" t="n"/>
      <c r="F607" s="3" t="n"/>
      <c r="G607" s="3" t="n"/>
      <c r="H607" s="4" t="n"/>
      <c r="L607" s="2" t="n"/>
      <c r="N607" s="2" t="n"/>
    </row>
    <row r="608">
      <c r="D608" s="2" t="n"/>
      <c r="E608" s="3" t="n"/>
      <c r="F608" s="3" t="n"/>
      <c r="G608" s="3" t="n"/>
      <c r="H608" s="4" t="n"/>
      <c r="L608" s="2" t="n"/>
      <c r="N608" s="2" t="n"/>
    </row>
    <row r="609">
      <c r="D609" s="2" t="n"/>
      <c r="E609" s="3" t="n"/>
      <c r="F609" s="3" t="n"/>
      <c r="G609" s="3" t="n"/>
      <c r="H609" s="4" t="n"/>
      <c r="L609" s="2" t="n"/>
      <c r="N609" s="2" t="n"/>
    </row>
    <row r="610">
      <c r="D610" s="2" t="n"/>
      <c r="E610" s="3" t="n"/>
      <c r="F610" s="3" t="n"/>
      <c r="G610" s="3" t="n"/>
      <c r="H610" s="4" t="n"/>
      <c r="L610" s="2" t="n"/>
      <c r="N610" s="2" t="n"/>
    </row>
    <row r="611">
      <c r="D611" s="2" t="n"/>
      <c r="E611" s="3" t="n"/>
      <c r="F611" s="3" t="n"/>
      <c r="G611" s="3" t="n"/>
      <c r="H611" s="4" t="n"/>
      <c r="L611" s="2" t="n"/>
      <c r="N611" s="2" t="n"/>
    </row>
    <row r="612">
      <c r="D612" s="2" t="n"/>
      <c r="E612" s="3" t="n"/>
      <c r="F612" s="3" t="n"/>
      <c r="G612" s="3" t="n"/>
      <c r="H612" s="4" t="n"/>
      <c r="L612" s="2" t="n"/>
      <c r="N612" s="2" t="n"/>
    </row>
    <row r="613">
      <c r="D613" s="2" t="n"/>
      <c r="E613" s="3" t="n"/>
      <c r="F613" s="3" t="n"/>
      <c r="G613" s="3" t="n"/>
      <c r="H613" s="4" t="n"/>
      <c r="L613" s="2" t="n"/>
      <c r="N613" s="2" t="n"/>
    </row>
    <row r="614">
      <c r="D614" s="2" t="n"/>
      <c r="E614" s="3" t="n"/>
      <c r="F614" s="3" t="n"/>
      <c r="G614" s="3" t="n"/>
      <c r="H614" s="4" t="n"/>
      <c r="L614" s="2" t="n"/>
      <c r="N614" s="2" t="n"/>
    </row>
    <row r="615">
      <c r="D615" s="2" t="n"/>
      <c r="E615" s="3" t="n"/>
      <c r="F615" s="3" t="n"/>
      <c r="G615" s="3" t="n"/>
      <c r="H615" s="4" t="n"/>
      <c r="L615" s="2" t="n"/>
      <c r="N615" s="2" t="n"/>
    </row>
    <row r="616">
      <c r="D616" s="2" t="n"/>
      <c r="E616" s="3" t="n"/>
      <c r="F616" s="3" t="n"/>
      <c r="G616" s="3" t="n"/>
      <c r="H616" s="4" t="n"/>
      <c r="L616" s="2" t="n"/>
      <c r="N616" s="2" t="n"/>
    </row>
    <row r="617">
      <c r="D617" s="2" t="n"/>
      <c r="E617" s="3" t="n"/>
      <c r="F617" s="3" t="n"/>
      <c r="G617" s="3" t="n"/>
      <c r="H617" s="4" t="n"/>
      <c r="L617" s="2" t="n"/>
      <c r="N617" s="2" t="n"/>
    </row>
    <row r="618">
      <c r="D618" s="2" t="n"/>
      <c r="E618" s="3" t="n"/>
      <c r="F618" s="3" t="n"/>
      <c r="G618" s="3" t="n"/>
      <c r="H618" s="4" t="n"/>
      <c r="L618" s="2" t="n"/>
      <c r="N618" s="2" t="n"/>
    </row>
    <row r="619">
      <c r="D619" s="2" t="n"/>
      <c r="E619" s="3" t="n"/>
      <c r="F619" s="3" t="n"/>
      <c r="G619" s="3" t="n"/>
      <c r="H619" s="4" t="n"/>
      <c r="L619" s="2" t="n"/>
      <c r="N619" s="2" t="n"/>
    </row>
    <row r="620">
      <c r="D620" s="2" t="n"/>
      <c r="E620" s="3" t="n"/>
      <c r="F620" s="3" t="n"/>
      <c r="G620" s="3" t="n"/>
      <c r="H620" s="4" t="n"/>
      <c r="L620" s="2" t="n"/>
      <c r="N620" s="2" t="n"/>
    </row>
    <row r="621">
      <c r="D621" s="2" t="n"/>
      <c r="E621" s="3" t="n"/>
      <c r="F621" s="3" t="n"/>
      <c r="G621" s="3" t="n"/>
      <c r="H621" s="4" t="n"/>
      <c r="L621" s="2" t="n"/>
      <c r="N621" s="2" t="n"/>
    </row>
    <row r="622">
      <c r="D622" s="2" t="n"/>
      <c r="E622" s="3" t="n"/>
      <c r="F622" s="3" t="n"/>
      <c r="G622" s="3" t="n"/>
      <c r="H622" s="4" t="n"/>
      <c r="L622" s="2" t="n"/>
      <c r="N622" s="2" t="n"/>
    </row>
    <row r="623">
      <c r="D623" s="2" t="n"/>
      <c r="E623" s="3" t="n"/>
      <c r="F623" s="3" t="n"/>
      <c r="G623" s="3" t="n"/>
      <c r="H623" s="4" t="n"/>
      <c r="L623" s="2" t="n"/>
      <c r="N623" s="2" t="n"/>
    </row>
    <row r="624">
      <c r="D624" s="2" t="n"/>
      <c r="E624" s="3" t="n"/>
      <c r="F624" s="3" t="n"/>
      <c r="G624" s="3" t="n"/>
      <c r="H624" s="4" t="n"/>
      <c r="L624" s="2" t="n"/>
      <c r="N624" s="2" t="n"/>
    </row>
    <row r="625">
      <c r="D625" s="2" t="n"/>
      <c r="E625" s="3" t="n"/>
      <c r="F625" s="3" t="n"/>
      <c r="G625" s="3" t="n"/>
      <c r="H625" s="4" t="n"/>
      <c r="L625" s="2" t="n"/>
      <c r="N625" s="2" t="n"/>
    </row>
    <row r="626">
      <c r="D626" s="2" t="n"/>
      <c r="E626" s="3" t="n"/>
      <c r="F626" s="3" t="n"/>
      <c r="G626" s="3" t="n"/>
      <c r="H626" s="4" t="n"/>
      <c r="L626" s="2" t="n"/>
      <c r="N626" s="2" t="n"/>
    </row>
    <row r="627">
      <c r="D627" s="2" t="n"/>
      <c r="E627" s="3" t="n"/>
      <c r="F627" s="3" t="n"/>
      <c r="G627" s="3" t="n"/>
      <c r="H627" s="4" t="n"/>
      <c r="L627" s="2" t="n"/>
      <c r="N627" s="2" t="n"/>
    </row>
    <row r="628">
      <c r="D628" s="2" t="n"/>
      <c r="E628" s="3" t="n"/>
      <c r="F628" s="3" t="n"/>
      <c r="G628" s="3" t="n"/>
      <c r="H628" s="4" t="n"/>
      <c r="L628" s="2" t="n"/>
      <c r="N628" s="2" t="n"/>
    </row>
    <row r="629">
      <c r="D629" s="2" t="n"/>
      <c r="E629" s="3" t="n"/>
      <c r="F629" s="3" t="n"/>
      <c r="G629" s="3" t="n"/>
      <c r="H629" s="4" t="n"/>
      <c r="L629" s="2" t="n"/>
      <c r="N629" s="2" t="n"/>
    </row>
    <row r="630">
      <c r="D630" s="2" t="n"/>
      <c r="E630" s="3" t="n"/>
      <c r="F630" s="3" t="n"/>
      <c r="G630" s="3" t="n"/>
      <c r="H630" s="4" t="n"/>
      <c r="L630" s="2" t="n"/>
      <c r="N630" s="2" t="n"/>
    </row>
    <row r="631">
      <c r="D631" s="2" t="n"/>
      <c r="E631" s="3" t="n"/>
      <c r="F631" s="3" t="n"/>
      <c r="G631" s="3" t="n"/>
      <c r="H631" s="4" t="n"/>
      <c r="L631" s="2" t="n"/>
      <c r="N631" s="2" t="n"/>
    </row>
    <row r="632">
      <c r="D632" s="2" t="n"/>
      <c r="E632" s="3" t="n"/>
      <c r="F632" s="3" t="n"/>
      <c r="G632" s="3" t="n"/>
      <c r="H632" s="4" t="n"/>
      <c r="L632" s="2" t="n"/>
      <c r="N632" s="2" t="n"/>
    </row>
    <row r="633">
      <c r="D633" s="2" t="n"/>
      <c r="E633" s="3" t="n"/>
      <c r="F633" s="3" t="n"/>
      <c r="G633" s="3" t="n"/>
      <c r="H633" s="4" t="n"/>
      <c r="L633" s="2" t="n"/>
      <c r="N633" s="2" t="n"/>
    </row>
    <row r="634">
      <c r="D634" s="2" t="n"/>
      <c r="E634" s="3" t="n"/>
      <c r="F634" s="3" t="n"/>
      <c r="G634" s="3" t="n"/>
      <c r="H634" s="4" t="n"/>
      <c r="L634" s="2" t="n"/>
      <c r="N634" s="2" t="n"/>
    </row>
    <row r="635">
      <c r="D635" s="2" t="n"/>
      <c r="E635" s="3" t="n"/>
      <c r="F635" s="3" t="n"/>
      <c r="G635" s="3" t="n"/>
      <c r="H635" s="4" t="n"/>
      <c r="L635" s="2" t="n"/>
      <c r="N635" s="2" t="n"/>
    </row>
    <row r="636">
      <c r="D636" s="2" t="n"/>
      <c r="E636" s="3" t="n"/>
      <c r="F636" s="3" t="n"/>
      <c r="G636" s="3" t="n"/>
      <c r="H636" s="4" t="n"/>
      <c r="L636" s="2" t="n"/>
      <c r="N636" s="2" t="n"/>
    </row>
    <row r="637">
      <c r="D637" s="2" t="n"/>
      <c r="E637" s="3" t="n"/>
      <c r="F637" s="3" t="n"/>
      <c r="G637" s="3" t="n"/>
      <c r="H637" s="4" t="n"/>
      <c r="L637" s="2" t="n"/>
      <c r="N637" s="2" t="n"/>
    </row>
    <row r="638">
      <c r="D638" s="2" t="n"/>
      <c r="E638" s="3" t="n"/>
      <c r="F638" s="3" t="n"/>
      <c r="G638" s="3" t="n"/>
      <c r="H638" s="4" t="n"/>
      <c r="L638" s="2" t="n"/>
      <c r="N638" s="2" t="n"/>
    </row>
    <row r="639">
      <c r="D639" s="2" t="n"/>
      <c r="E639" s="3" t="n"/>
      <c r="F639" s="3" t="n"/>
      <c r="G639" s="3" t="n"/>
      <c r="H639" s="4" t="n"/>
      <c r="L639" s="2" t="n"/>
      <c r="N639" s="2" t="n"/>
    </row>
    <row r="640">
      <c r="D640" s="2" t="n"/>
      <c r="E640" s="3" t="n"/>
      <c r="F640" s="3" t="n"/>
      <c r="G640" s="3" t="n"/>
      <c r="H640" s="4" t="n"/>
      <c r="L640" s="2" t="n"/>
      <c r="N640" s="2" t="n"/>
    </row>
    <row r="641">
      <c r="D641" s="2" t="n"/>
      <c r="E641" s="3" t="n"/>
      <c r="F641" s="3" t="n"/>
      <c r="G641" s="3" t="n"/>
      <c r="H641" s="4" t="n"/>
      <c r="L641" s="2" t="n"/>
      <c r="N641" s="2" t="n"/>
    </row>
    <row r="642">
      <c r="D642" s="2" t="n"/>
      <c r="E642" s="3" t="n"/>
      <c r="F642" s="3" t="n"/>
      <c r="G642" s="3" t="n"/>
      <c r="H642" s="4" t="n"/>
      <c r="L642" s="2" t="n"/>
      <c r="N642" s="2" t="n"/>
    </row>
    <row r="643">
      <c r="D643" s="2" t="n"/>
      <c r="E643" s="3" t="n"/>
      <c r="F643" s="3" t="n"/>
      <c r="G643" s="3" t="n"/>
      <c r="H643" s="4" t="n"/>
      <c r="L643" s="2" t="n"/>
      <c r="N643" s="2" t="n"/>
    </row>
    <row r="644">
      <c r="D644" s="2" t="n"/>
      <c r="E644" s="3" t="n"/>
      <c r="F644" s="3" t="n"/>
      <c r="G644" s="3" t="n"/>
      <c r="H644" s="4" t="n"/>
      <c r="L644" s="2" t="n"/>
      <c r="N644" s="2" t="n"/>
    </row>
    <row r="645">
      <c r="D645" s="2" t="n"/>
      <c r="E645" s="3" t="n"/>
      <c r="F645" s="3" t="n"/>
      <c r="G645" s="3" t="n"/>
      <c r="H645" s="4" t="n"/>
      <c r="L645" s="2" t="n"/>
      <c r="N645" s="2" t="n"/>
    </row>
    <row r="646">
      <c r="D646" s="2" t="n"/>
      <c r="E646" s="3" t="n"/>
      <c r="F646" s="3" t="n"/>
      <c r="G646" s="3" t="n"/>
      <c r="H646" s="4" t="n"/>
      <c r="L646" s="2" t="n"/>
      <c r="N646" s="2" t="n"/>
    </row>
    <row r="647">
      <c r="D647" s="2" t="n"/>
      <c r="E647" s="3" t="n"/>
      <c r="F647" s="3" t="n"/>
      <c r="G647" s="3" t="n"/>
      <c r="H647" s="4" t="n"/>
      <c r="L647" s="2" t="n"/>
      <c r="N647" s="2" t="n"/>
    </row>
    <row r="648">
      <c r="D648" s="2" t="n"/>
      <c r="E648" s="3" t="n"/>
      <c r="F648" s="3" t="n"/>
      <c r="G648" s="3" t="n"/>
      <c r="H648" s="4" t="n"/>
      <c r="L648" s="2" t="n"/>
      <c r="N648" s="2" t="n"/>
    </row>
    <row r="649">
      <c r="D649" s="2" t="n"/>
      <c r="E649" s="3" t="n"/>
      <c r="F649" s="3" t="n"/>
      <c r="G649" s="3" t="n"/>
      <c r="H649" s="4" t="n"/>
      <c r="L649" s="2" t="n"/>
      <c r="N649" s="2" t="n"/>
    </row>
    <row r="650">
      <c r="D650" s="2" t="n"/>
      <c r="E650" s="3" t="n"/>
      <c r="F650" s="3" t="n"/>
      <c r="G650" s="3" t="n"/>
      <c r="H650" s="4" t="n"/>
      <c r="L650" s="2" t="n"/>
      <c r="N650" s="2" t="n"/>
    </row>
    <row r="651">
      <c r="D651" s="2" t="n"/>
      <c r="E651" s="3" t="n"/>
      <c r="F651" s="3" t="n"/>
      <c r="G651" s="3" t="n"/>
      <c r="H651" s="4" t="n"/>
      <c r="L651" s="2" t="n"/>
      <c r="N651" s="2" t="n"/>
    </row>
    <row r="652">
      <c r="D652" s="2" t="n"/>
      <c r="E652" s="3" t="n"/>
      <c r="F652" s="3" t="n"/>
      <c r="G652" s="3" t="n"/>
      <c r="H652" s="4" t="n"/>
      <c r="L652" s="2" t="n"/>
      <c r="N652" s="2" t="n"/>
    </row>
    <row r="653">
      <c r="D653" s="2" t="n"/>
      <c r="E653" s="3" t="n"/>
      <c r="F653" s="3" t="n"/>
      <c r="G653" s="3" t="n"/>
      <c r="H653" s="4" t="n"/>
      <c r="L653" s="2" t="n"/>
      <c r="N653" s="2" t="n"/>
    </row>
    <row r="654">
      <c r="D654" s="2" t="n"/>
      <c r="E654" s="3" t="n"/>
      <c r="F654" s="3" t="n"/>
      <c r="G654" s="3" t="n"/>
      <c r="H654" s="4" t="n"/>
      <c r="L654" s="2" t="n"/>
      <c r="N654" s="2" t="n"/>
    </row>
    <row r="655">
      <c r="D655" s="2" t="n"/>
      <c r="E655" s="3" t="n"/>
      <c r="F655" s="3" t="n"/>
      <c r="G655" s="3" t="n"/>
      <c r="H655" s="4" t="n"/>
      <c r="L655" s="2" t="n"/>
      <c r="N655" s="2" t="n"/>
    </row>
    <row r="656">
      <c r="D656" s="2" t="n"/>
      <c r="E656" s="3" t="n"/>
      <c r="F656" s="3" t="n"/>
      <c r="G656" s="3" t="n"/>
      <c r="H656" s="4" t="n"/>
      <c r="L656" s="2" t="n"/>
      <c r="N656" s="2" t="n"/>
    </row>
    <row r="657">
      <c r="D657" s="2" t="n"/>
      <c r="E657" s="3" t="n"/>
      <c r="F657" s="3" t="n"/>
      <c r="G657" s="3" t="n"/>
      <c r="H657" s="4" t="n"/>
      <c r="L657" s="2" t="n"/>
      <c r="N657" s="2" t="n"/>
    </row>
    <row r="658">
      <c r="D658" s="2" t="n"/>
      <c r="E658" s="3" t="n"/>
      <c r="F658" s="3" t="n"/>
      <c r="G658" s="3" t="n"/>
      <c r="H658" s="4" t="n"/>
      <c r="L658" s="2" t="n"/>
      <c r="N658" s="2" t="n"/>
    </row>
    <row r="659">
      <c r="D659" s="2" t="n"/>
      <c r="E659" s="3" t="n"/>
      <c r="F659" s="3" t="n"/>
      <c r="G659" s="3" t="n"/>
      <c r="H659" s="4" t="n"/>
      <c r="L659" s="2" t="n"/>
      <c r="N659" s="2" t="n"/>
    </row>
    <row r="660">
      <c r="D660" s="2" t="n"/>
      <c r="E660" s="3" t="n"/>
      <c r="F660" s="3" t="n"/>
      <c r="G660" s="3" t="n"/>
      <c r="H660" s="4" t="n"/>
      <c r="L660" s="2" t="n"/>
      <c r="N660" s="2" t="n"/>
    </row>
    <row r="661">
      <c r="D661" s="2" t="n"/>
      <c r="E661" s="3" t="n"/>
      <c r="F661" s="3" t="n"/>
      <c r="G661" s="3" t="n"/>
      <c r="H661" s="4" t="n"/>
      <c r="L661" s="2" t="n"/>
      <c r="N661" s="2" t="n"/>
    </row>
    <row r="662">
      <c r="D662" s="2" t="n"/>
      <c r="E662" s="3" t="n"/>
      <c r="F662" s="3" t="n"/>
      <c r="G662" s="3" t="n"/>
      <c r="H662" s="4" t="n"/>
      <c r="L662" s="2" t="n"/>
      <c r="N662" s="2" t="n"/>
    </row>
    <row r="663">
      <c r="D663" s="2" t="n"/>
      <c r="E663" s="3" t="n"/>
      <c r="F663" s="3" t="n"/>
      <c r="G663" s="3" t="n"/>
      <c r="H663" s="4" t="n"/>
      <c r="L663" s="2" t="n"/>
      <c r="N663" s="2" t="n"/>
    </row>
    <row r="664">
      <c r="D664" s="2" t="n"/>
      <c r="E664" s="3" t="n"/>
      <c r="F664" s="3" t="n"/>
      <c r="G664" s="3" t="n"/>
      <c r="H664" s="4" t="n"/>
      <c r="L664" s="2" t="n"/>
      <c r="N664" s="2" t="n"/>
    </row>
    <row r="665">
      <c r="D665" s="2" t="n"/>
      <c r="E665" s="3" t="n"/>
      <c r="F665" s="3" t="n"/>
      <c r="G665" s="3" t="n"/>
      <c r="H665" s="4" t="n"/>
      <c r="L665" s="2" t="n"/>
      <c r="N665" s="2" t="n"/>
    </row>
    <row r="666">
      <c r="D666" s="2" t="n"/>
      <c r="E666" s="3" t="n"/>
      <c r="F666" s="3" t="n"/>
      <c r="G666" s="3" t="n"/>
      <c r="H666" s="4" t="n"/>
      <c r="L666" s="2" t="n"/>
      <c r="N666" s="2" t="n"/>
    </row>
    <row r="667">
      <c r="D667" s="2" t="n"/>
      <c r="E667" s="3" t="n"/>
      <c r="F667" s="3" t="n"/>
      <c r="G667" s="3" t="n"/>
      <c r="H667" s="4" t="n"/>
      <c r="L667" s="2" t="n"/>
      <c r="N667" s="2" t="n"/>
    </row>
    <row r="668">
      <c r="D668" s="2" t="n"/>
      <c r="E668" s="3" t="n"/>
      <c r="F668" s="3" t="n"/>
      <c r="G668" s="3" t="n"/>
      <c r="H668" s="4" t="n"/>
      <c r="L668" s="2" t="n"/>
      <c r="N668" s="2" t="n"/>
    </row>
    <row r="669">
      <c r="D669" s="2" t="n"/>
      <c r="E669" s="3" t="n"/>
      <c r="F669" s="3" t="n"/>
      <c r="G669" s="3" t="n"/>
      <c r="H669" s="4" t="n"/>
      <c r="L669" s="2" t="n"/>
      <c r="N669" s="2" t="n"/>
    </row>
    <row r="670">
      <c r="D670" s="2" t="n"/>
      <c r="E670" s="3" t="n"/>
      <c r="F670" s="3" t="n"/>
      <c r="G670" s="3" t="n"/>
      <c r="H670" s="4" t="n"/>
      <c r="L670" s="2" t="n"/>
      <c r="N670" s="2" t="n"/>
    </row>
    <row r="671">
      <c r="D671" s="2" t="n"/>
      <c r="E671" s="3" t="n"/>
      <c r="F671" s="3" t="n"/>
      <c r="G671" s="3" t="n"/>
      <c r="H671" s="4" t="n"/>
      <c r="L671" s="2" t="n"/>
      <c r="N671" s="2" t="n"/>
    </row>
    <row r="672">
      <c r="D672" s="2" t="n"/>
      <c r="E672" s="3" t="n"/>
      <c r="F672" s="3" t="n"/>
      <c r="G672" s="3" t="n"/>
      <c r="H672" s="4" t="n"/>
      <c r="L672" s="2" t="n"/>
      <c r="N672" s="2" t="n"/>
    </row>
    <row r="673">
      <c r="D673" s="2" t="n"/>
      <c r="E673" s="3" t="n"/>
      <c r="F673" s="3" t="n"/>
      <c r="G673" s="3" t="n"/>
      <c r="H673" s="4" t="n"/>
      <c r="L673" s="2" t="n"/>
      <c r="N673" s="2" t="n"/>
    </row>
    <row r="674">
      <c r="D674" s="2" t="n"/>
      <c r="E674" s="3" t="n"/>
      <c r="F674" s="3" t="n"/>
      <c r="G674" s="3" t="n"/>
      <c r="H674" s="4" t="n"/>
      <c r="L674" s="2" t="n"/>
      <c r="N674" s="2" t="n"/>
    </row>
    <row r="675">
      <c r="D675" s="2" t="n"/>
      <c r="E675" s="3" t="n"/>
      <c r="F675" s="3" t="n"/>
      <c r="G675" s="3" t="n"/>
      <c r="H675" s="4" t="n"/>
      <c r="L675" s="2" t="n"/>
      <c r="N675" s="2" t="n"/>
    </row>
    <row r="676">
      <c r="D676" s="2" t="n"/>
      <c r="E676" s="3" t="n"/>
      <c r="F676" s="3" t="n"/>
      <c r="G676" s="3" t="n"/>
      <c r="H676" s="4" t="n"/>
      <c r="L676" s="2" t="n"/>
      <c r="N676" s="2" t="n"/>
    </row>
    <row r="677">
      <c r="D677" s="2" t="n"/>
      <c r="E677" s="3" t="n"/>
      <c r="F677" s="3" t="n"/>
      <c r="G677" s="3" t="n"/>
      <c r="H677" s="4" t="n"/>
      <c r="L677" s="2" t="n"/>
      <c r="N677" s="2" t="n"/>
    </row>
    <row r="678">
      <c r="D678" s="2" t="n"/>
      <c r="E678" s="3" t="n"/>
      <c r="F678" s="3" t="n"/>
      <c r="G678" s="3" t="n"/>
      <c r="H678" s="4" t="n"/>
      <c r="L678" s="2" t="n"/>
      <c r="N678" s="2" t="n"/>
    </row>
    <row r="679">
      <c r="D679" s="2" t="n"/>
      <c r="E679" s="3" t="n"/>
      <c r="F679" s="3" t="n"/>
      <c r="G679" s="3" t="n"/>
      <c r="H679" s="4" t="n"/>
      <c r="L679" s="2" t="n"/>
      <c r="N679" s="2" t="n"/>
    </row>
    <row r="680">
      <c r="D680" s="2" t="n"/>
      <c r="E680" s="3" t="n"/>
      <c r="F680" s="3" t="n"/>
      <c r="G680" s="3" t="n"/>
      <c r="H680" s="4" t="n"/>
      <c r="L680" s="2" t="n"/>
      <c r="N680" s="2" t="n"/>
    </row>
    <row r="681">
      <c r="D681" s="2" t="n"/>
      <c r="E681" s="3" t="n"/>
      <c r="F681" s="3" t="n"/>
      <c r="G681" s="3" t="n"/>
      <c r="H681" s="4" t="n"/>
      <c r="L681" s="2" t="n"/>
      <c r="N681" s="2" t="n"/>
    </row>
    <row r="682">
      <c r="D682" s="2" t="n"/>
      <c r="E682" s="3" t="n"/>
      <c r="F682" s="3" t="n"/>
      <c r="G682" s="3" t="n"/>
      <c r="H682" s="4" t="n"/>
      <c r="L682" s="2" t="n"/>
      <c r="N682" s="2" t="n"/>
    </row>
    <row r="683">
      <c r="D683" s="2" t="n"/>
      <c r="E683" s="3" t="n"/>
      <c r="F683" s="3" t="n"/>
      <c r="G683" s="3" t="n"/>
      <c r="H683" s="4" t="n"/>
      <c r="L683" s="2" t="n"/>
      <c r="N683" s="2" t="n"/>
    </row>
    <row r="684">
      <c r="D684" s="2" t="n"/>
      <c r="E684" s="3" t="n"/>
      <c r="F684" s="3" t="n"/>
      <c r="G684" s="3" t="n"/>
      <c r="H684" s="4" t="n"/>
      <c r="L684" s="2" t="n"/>
      <c r="N684" s="2" t="n"/>
    </row>
    <row r="685">
      <c r="D685" s="2" t="n"/>
      <c r="E685" s="3" t="n"/>
      <c r="F685" s="3" t="n"/>
      <c r="G685" s="3" t="n"/>
      <c r="H685" s="4" t="n"/>
      <c r="L685" s="2" t="n"/>
      <c r="N685" s="2" t="n"/>
    </row>
    <row r="686">
      <c r="D686" s="2" t="n"/>
      <c r="E686" s="3" t="n"/>
      <c r="F686" s="3" t="n"/>
      <c r="G686" s="3" t="n"/>
      <c r="H686" s="4" t="n"/>
      <c r="L686" s="2" t="n"/>
      <c r="N686" s="2" t="n"/>
    </row>
    <row r="687">
      <c r="D687" s="2" t="n"/>
      <c r="E687" s="3" t="n"/>
      <c r="F687" s="3" t="n"/>
      <c r="G687" s="3" t="n"/>
      <c r="H687" s="4" t="n"/>
      <c r="L687" s="2" t="n"/>
      <c r="N687" s="2" t="n"/>
    </row>
    <row r="688">
      <c r="D688" s="2" t="n"/>
      <c r="E688" s="3" t="n"/>
      <c r="F688" s="3" t="n"/>
      <c r="G688" s="3" t="n"/>
      <c r="H688" s="4" t="n"/>
      <c r="L688" s="2" t="n"/>
      <c r="N688" s="2" t="n"/>
    </row>
    <row r="689">
      <c r="D689" s="2" t="n"/>
      <c r="E689" s="3" t="n"/>
      <c r="F689" s="3" t="n"/>
      <c r="G689" s="3" t="n"/>
      <c r="H689" s="4" t="n"/>
      <c r="L689" s="2" t="n"/>
      <c r="N689" s="2" t="n"/>
    </row>
    <row r="690">
      <c r="D690" s="2" t="n"/>
      <c r="E690" s="3" t="n"/>
      <c r="F690" s="3" t="n"/>
      <c r="G690" s="3" t="n"/>
      <c r="H690" s="4" t="n"/>
      <c r="L690" s="2" t="n"/>
      <c r="N690" s="2" t="n"/>
    </row>
    <row r="691">
      <c r="D691" s="2" t="n"/>
      <c r="E691" s="3" t="n"/>
      <c r="F691" s="3" t="n"/>
      <c r="G691" s="3" t="n"/>
      <c r="H691" s="4" t="n"/>
      <c r="L691" s="2" t="n"/>
      <c r="N691" s="2" t="n"/>
    </row>
    <row r="692">
      <c r="D692" s="2" t="n"/>
      <c r="E692" s="3" t="n"/>
      <c r="F692" s="3" t="n"/>
      <c r="G692" s="3" t="n"/>
      <c r="H692" s="4" t="n"/>
      <c r="L692" s="2" t="n"/>
      <c r="N692" s="2" t="n"/>
    </row>
    <row r="693">
      <c r="D693" s="2" t="n"/>
      <c r="E693" s="3" t="n"/>
      <c r="F693" s="3" t="n"/>
      <c r="G693" s="3" t="n"/>
      <c r="H693" s="4" t="n"/>
      <c r="L693" s="2" t="n"/>
      <c r="N693" s="2" t="n"/>
    </row>
    <row r="694">
      <c r="D694" s="2" t="n"/>
      <c r="E694" s="3" t="n"/>
      <c r="F694" s="3" t="n"/>
      <c r="G694" s="3" t="n"/>
      <c r="H694" s="4" t="n"/>
      <c r="L694" s="2" t="n"/>
      <c r="N694" s="2" t="n"/>
    </row>
    <row r="695">
      <c r="D695" s="2" t="n"/>
      <c r="E695" s="3" t="n"/>
      <c r="F695" s="3" t="n"/>
      <c r="G695" s="3" t="n"/>
      <c r="H695" s="4" t="n"/>
      <c r="L695" s="2" t="n"/>
      <c r="N695" s="2" t="n"/>
    </row>
    <row r="696">
      <c r="D696" s="2" t="n"/>
      <c r="E696" s="3" t="n"/>
      <c r="F696" s="3" t="n"/>
      <c r="G696" s="3" t="n"/>
      <c r="H696" s="4" t="n"/>
      <c r="L696" s="2" t="n"/>
      <c r="N696" s="2" t="n"/>
    </row>
    <row r="697">
      <c r="D697" s="2" t="n"/>
      <c r="E697" s="3" t="n"/>
      <c r="F697" s="3" t="n"/>
      <c r="G697" s="3" t="n"/>
      <c r="H697" s="4" t="n"/>
      <c r="L697" s="2" t="n"/>
      <c r="N697" s="2" t="n"/>
    </row>
    <row r="698">
      <c r="D698" s="2" t="n"/>
      <c r="E698" s="3" t="n"/>
      <c r="F698" s="3" t="n"/>
      <c r="G698" s="3" t="n"/>
      <c r="H698" s="4" t="n"/>
      <c r="L698" s="2" t="n"/>
      <c r="N698" s="2" t="n"/>
    </row>
    <row r="699">
      <c r="D699" s="2" t="n"/>
      <c r="E699" s="3" t="n"/>
      <c r="F699" s="3" t="n"/>
      <c r="G699" s="3" t="n"/>
      <c r="H699" s="4" t="n"/>
      <c r="L699" s="2" t="n"/>
      <c r="N699" s="2" t="n"/>
    </row>
    <row r="700">
      <c r="D700" s="2" t="n"/>
      <c r="E700" s="3" t="n"/>
      <c r="F700" s="3" t="n"/>
      <c r="G700" s="3" t="n"/>
      <c r="H700" s="4" t="n"/>
      <c r="L700" s="2" t="n"/>
      <c r="N700" s="2" t="n"/>
    </row>
    <row r="701">
      <c r="D701" s="2" t="n"/>
      <c r="E701" s="3" t="n"/>
      <c r="F701" s="3" t="n"/>
      <c r="G701" s="3" t="n"/>
      <c r="H701" s="4" t="n"/>
      <c r="L701" s="2" t="n"/>
      <c r="N701" s="2" t="n"/>
    </row>
    <row r="702">
      <c r="D702" s="2" t="n"/>
      <c r="E702" s="3" t="n"/>
      <c r="F702" s="3" t="n"/>
      <c r="G702" s="3" t="n"/>
      <c r="H702" s="4" t="n"/>
      <c r="L702" s="2" t="n"/>
      <c r="N702" s="2" t="n"/>
    </row>
    <row r="703">
      <c r="D703" s="2" t="n"/>
      <c r="E703" s="3" t="n"/>
      <c r="F703" s="3" t="n"/>
      <c r="G703" s="3" t="n"/>
      <c r="H703" s="4" t="n"/>
      <c r="L703" s="2" t="n"/>
      <c r="N703" s="2" t="n"/>
    </row>
    <row r="704">
      <c r="D704" s="2" t="n"/>
      <c r="E704" s="3" t="n"/>
      <c r="F704" s="3" t="n"/>
      <c r="G704" s="3" t="n"/>
      <c r="H704" s="4" t="n"/>
      <c r="L704" s="2" t="n"/>
      <c r="N704" s="2" t="n"/>
    </row>
    <row r="705">
      <c r="D705" s="2" t="n"/>
      <c r="E705" s="3" t="n"/>
      <c r="F705" s="3" t="n"/>
      <c r="G705" s="3" t="n"/>
      <c r="H705" s="4" t="n"/>
      <c r="L705" s="2" t="n"/>
      <c r="N705" s="2" t="n"/>
    </row>
    <row r="706">
      <c r="D706" s="2" t="n"/>
      <c r="E706" s="3" t="n"/>
      <c r="F706" s="3" t="n"/>
      <c r="G706" s="3" t="n"/>
      <c r="H706" s="4" t="n"/>
      <c r="L706" s="2" t="n"/>
      <c r="N706" s="2" t="n"/>
    </row>
    <row r="707">
      <c r="D707" s="2" t="n"/>
      <c r="E707" s="3" t="n"/>
      <c r="F707" s="3" t="n"/>
      <c r="G707" s="3" t="n"/>
      <c r="H707" s="4" t="n"/>
      <c r="L707" s="2" t="n"/>
      <c r="N707" s="2" t="n"/>
    </row>
    <row r="708">
      <c r="D708" s="2" t="n"/>
      <c r="E708" s="3" t="n"/>
      <c r="F708" s="3" t="n"/>
      <c r="G708" s="3" t="n"/>
      <c r="H708" s="4" t="n"/>
      <c r="L708" s="2" t="n"/>
      <c r="N708" s="2" t="n"/>
    </row>
    <row r="709">
      <c r="D709" s="2" t="n"/>
      <c r="E709" s="3" t="n"/>
      <c r="F709" s="3" t="n"/>
      <c r="G709" s="3" t="n"/>
      <c r="H709" s="4" t="n"/>
      <c r="L709" s="2" t="n"/>
      <c r="N709" s="2" t="n"/>
    </row>
    <row r="710">
      <c r="D710" s="2" t="n"/>
      <c r="E710" s="3" t="n"/>
      <c r="F710" s="3" t="n"/>
      <c r="G710" s="3" t="n"/>
      <c r="H710" s="4" t="n"/>
      <c r="L710" s="2" t="n"/>
      <c r="N710" s="2" t="n"/>
    </row>
    <row r="711">
      <c r="D711" s="2" t="n"/>
      <c r="E711" s="3" t="n"/>
      <c r="F711" s="3" t="n"/>
      <c r="G711" s="3" t="n"/>
      <c r="H711" s="4" t="n"/>
      <c r="L711" s="2" t="n"/>
      <c r="N711" s="2" t="n"/>
    </row>
    <row r="712">
      <c r="D712" s="2" t="n"/>
      <c r="E712" s="3" t="n"/>
      <c r="F712" s="3" t="n"/>
      <c r="G712" s="3" t="n"/>
      <c r="H712" s="4" t="n"/>
      <c r="L712" s="2" t="n"/>
      <c r="N712" s="2" t="n"/>
    </row>
    <row r="713">
      <c r="D713" s="2" t="n"/>
      <c r="E713" s="3" t="n"/>
      <c r="F713" s="3" t="n"/>
      <c r="G713" s="3" t="n"/>
      <c r="H713" s="4" t="n"/>
      <c r="L713" s="2" t="n"/>
      <c r="N713" s="2" t="n"/>
    </row>
    <row r="714">
      <c r="D714" s="2" t="n"/>
      <c r="E714" s="3" t="n"/>
      <c r="F714" s="3" t="n"/>
      <c r="G714" s="3" t="n"/>
      <c r="H714" s="4" t="n"/>
      <c r="L714" s="2" t="n"/>
      <c r="N714" s="2" t="n"/>
    </row>
    <row r="715">
      <c r="D715" s="2" t="n"/>
      <c r="E715" s="3" t="n"/>
      <c r="F715" s="3" t="n"/>
      <c r="G715" s="3" t="n"/>
      <c r="H715" s="4" t="n"/>
      <c r="L715" s="2" t="n"/>
      <c r="N715" s="2" t="n"/>
    </row>
    <row r="716">
      <c r="D716" s="2" t="n"/>
      <c r="E716" s="3" t="n"/>
      <c r="F716" s="3" t="n"/>
      <c r="G716" s="3" t="n"/>
      <c r="H716" s="4" t="n"/>
      <c r="L716" s="2" t="n"/>
      <c r="N716" s="2" t="n"/>
    </row>
    <row r="717">
      <c r="D717" s="2" t="n"/>
      <c r="E717" s="3" t="n"/>
      <c r="F717" s="3" t="n"/>
      <c r="G717" s="3" t="n"/>
      <c r="H717" s="4" t="n"/>
      <c r="L717" s="2" t="n"/>
      <c r="N717" s="2" t="n"/>
    </row>
    <row r="718">
      <c r="D718" s="2" t="n"/>
      <c r="E718" s="3" t="n"/>
      <c r="F718" s="3" t="n"/>
      <c r="G718" s="3" t="n"/>
      <c r="H718" s="4" t="n"/>
      <c r="L718" s="2" t="n"/>
      <c r="N718" s="2" t="n"/>
    </row>
    <row r="719">
      <c r="D719" s="2" t="n"/>
      <c r="E719" s="3" t="n"/>
      <c r="F719" s="3" t="n"/>
      <c r="G719" s="3" t="n"/>
      <c r="H719" s="4" t="n"/>
      <c r="L719" s="2" t="n"/>
      <c r="N719" s="2" t="n"/>
    </row>
    <row r="720">
      <c r="D720" s="2" t="n"/>
      <c r="E720" s="3" t="n"/>
      <c r="F720" s="3" t="n"/>
      <c r="G720" s="3" t="n"/>
      <c r="H720" s="4" t="n"/>
      <c r="L720" s="2" t="n"/>
      <c r="N720" s="2" t="n"/>
    </row>
    <row r="721">
      <c r="D721" s="2" t="n"/>
      <c r="E721" s="3" t="n"/>
      <c r="F721" s="3" t="n"/>
      <c r="G721" s="3" t="n"/>
      <c r="H721" s="4" t="n"/>
      <c r="L721" s="2" t="n"/>
      <c r="N721" s="2" t="n"/>
    </row>
    <row r="722">
      <c r="D722" s="2" t="n"/>
      <c r="E722" s="3" t="n"/>
      <c r="F722" s="3" t="n"/>
      <c r="G722" s="3" t="n"/>
      <c r="H722" s="4" t="n"/>
      <c r="L722" s="2" t="n"/>
      <c r="N722" s="2" t="n"/>
    </row>
    <row r="723">
      <c r="D723" s="2" t="n"/>
      <c r="E723" s="3" t="n"/>
      <c r="F723" s="3" t="n"/>
      <c r="G723" s="3" t="n"/>
      <c r="H723" s="4" t="n"/>
      <c r="L723" s="2" t="n"/>
      <c r="N723" s="2" t="n"/>
    </row>
    <row r="724">
      <c r="D724" s="2" t="n"/>
      <c r="E724" s="3" t="n"/>
      <c r="F724" s="3" t="n"/>
      <c r="G724" s="3" t="n"/>
      <c r="H724" s="4" t="n"/>
      <c r="L724" s="2" t="n"/>
      <c r="N724" s="2" t="n"/>
    </row>
    <row r="725">
      <c r="D725" s="2" t="n"/>
      <c r="E725" s="3" t="n"/>
      <c r="F725" s="3" t="n"/>
      <c r="G725" s="3" t="n"/>
      <c r="H725" s="4" t="n"/>
      <c r="L725" s="2" t="n"/>
      <c r="N725" s="2" t="n"/>
    </row>
    <row r="726">
      <c r="D726" s="2" t="n"/>
      <c r="E726" s="3" t="n"/>
      <c r="F726" s="3" t="n"/>
      <c r="G726" s="3" t="n"/>
      <c r="H726" s="4" t="n"/>
      <c r="L726" s="2" t="n"/>
      <c r="N726" s="2" t="n"/>
    </row>
    <row r="727">
      <c r="D727" s="2" t="n"/>
      <c r="E727" s="3" t="n"/>
      <c r="F727" s="3" t="n"/>
      <c r="G727" s="3" t="n"/>
      <c r="H727" s="4" t="n"/>
      <c r="L727" s="2" t="n"/>
      <c r="N727" s="2" t="n"/>
    </row>
    <row r="728">
      <c r="D728" s="2" t="n"/>
      <c r="E728" s="3" t="n"/>
      <c r="F728" s="3" t="n"/>
      <c r="G728" s="3" t="n"/>
      <c r="H728" s="4" t="n"/>
      <c r="L728" s="2" t="n"/>
      <c r="N728" s="2" t="n"/>
    </row>
    <row r="729">
      <c r="D729" s="2" t="n"/>
      <c r="E729" s="3" t="n"/>
      <c r="F729" s="3" t="n"/>
      <c r="G729" s="3" t="n"/>
      <c r="H729" s="4" t="n"/>
      <c r="L729" s="2" t="n"/>
      <c r="N729" s="2" t="n"/>
    </row>
    <row r="730">
      <c r="D730" s="2" t="n"/>
      <c r="E730" s="3" t="n"/>
      <c r="F730" s="3" t="n"/>
      <c r="G730" s="3" t="n"/>
      <c r="H730" s="4" t="n"/>
      <c r="L730" s="2" t="n"/>
      <c r="N730" s="2" t="n"/>
    </row>
    <row r="731">
      <c r="D731" s="2" t="n"/>
      <c r="E731" s="3" t="n"/>
      <c r="F731" s="3" t="n"/>
      <c r="G731" s="3" t="n"/>
      <c r="H731" s="4" t="n"/>
      <c r="L731" s="2" t="n"/>
      <c r="N731" s="2" t="n"/>
    </row>
    <row r="732">
      <c r="D732" s="2" t="n"/>
      <c r="E732" s="3" t="n"/>
      <c r="F732" s="3" t="n"/>
      <c r="G732" s="3" t="n"/>
      <c r="H732" s="4" t="n"/>
      <c r="L732" s="2" t="n"/>
      <c r="N732" s="2" t="n"/>
    </row>
    <row r="733">
      <c r="D733" s="2" t="n"/>
      <c r="E733" s="3" t="n"/>
      <c r="F733" s="3" t="n"/>
      <c r="G733" s="3" t="n"/>
      <c r="H733" s="4" t="n"/>
      <c r="L733" s="2" t="n"/>
      <c r="N733" s="2" t="n"/>
    </row>
    <row r="734">
      <c r="D734" s="2" t="n"/>
      <c r="E734" s="3" t="n"/>
      <c r="F734" s="3" t="n"/>
      <c r="G734" s="3" t="n"/>
      <c r="H734" s="4" t="n"/>
      <c r="L734" s="2" t="n"/>
      <c r="N734" s="2" t="n"/>
    </row>
    <row r="735">
      <c r="D735" s="2" t="n"/>
      <c r="E735" s="3" t="n"/>
      <c r="F735" s="3" t="n"/>
      <c r="G735" s="3" t="n"/>
      <c r="H735" s="4" t="n"/>
      <c r="L735" s="2" t="n"/>
      <c r="N735" s="2" t="n"/>
    </row>
    <row r="736">
      <c r="D736" s="2" t="n"/>
      <c r="E736" s="3" t="n"/>
      <c r="F736" s="3" t="n"/>
      <c r="G736" s="3" t="n"/>
      <c r="H736" s="4" t="n"/>
      <c r="L736" s="2" t="n"/>
      <c r="N736" s="2" t="n"/>
    </row>
    <row r="737">
      <c r="D737" s="2" t="n"/>
      <c r="E737" s="3" t="n"/>
      <c r="F737" s="3" t="n"/>
      <c r="G737" s="3" t="n"/>
      <c r="H737" s="4" t="n"/>
      <c r="L737" s="2" t="n"/>
      <c r="N737" s="2" t="n"/>
    </row>
    <row r="738">
      <c r="D738" s="2" t="n"/>
      <c r="E738" s="3" t="n"/>
      <c r="F738" s="3" t="n"/>
      <c r="G738" s="3" t="n"/>
      <c r="H738" s="4" t="n"/>
      <c r="L738" s="2" t="n"/>
      <c r="N738" s="2" t="n"/>
    </row>
    <row r="739">
      <c r="D739" s="2" t="n"/>
      <c r="E739" s="3" t="n"/>
      <c r="F739" s="3" t="n"/>
      <c r="G739" s="3" t="n"/>
      <c r="H739" s="4" t="n"/>
      <c r="L739" s="2" t="n"/>
      <c r="N739" s="2" t="n"/>
    </row>
    <row r="740">
      <c r="D740" s="2" t="n"/>
      <c r="E740" s="3" t="n"/>
      <c r="F740" s="3" t="n"/>
      <c r="G740" s="3" t="n"/>
      <c r="H740" s="4" t="n"/>
      <c r="L740" s="2" t="n"/>
      <c r="N740" s="2" t="n"/>
    </row>
    <row r="741">
      <c r="D741" s="2" t="n"/>
      <c r="E741" s="3" t="n"/>
      <c r="F741" s="3" t="n"/>
      <c r="G741" s="3" t="n"/>
      <c r="H741" s="4" t="n"/>
      <c r="L741" s="2" t="n"/>
      <c r="N741" s="2" t="n"/>
    </row>
    <row r="742">
      <c r="D742" s="2" t="n"/>
      <c r="E742" s="3" t="n"/>
      <c r="F742" s="3" t="n"/>
      <c r="G742" s="3" t="n"/>
      <c r="H742" s="4" t="n"/>
      <c r="L742" s="2" t="n"/>
      <c r="N742" s="2" t="n"/>
    </row>
    <row r="743">
      <c r="D743" s="2" t="n"/>
      <c r="E743" s="3" t="n"/>
      <c r="F743" s="3" t="n"/>
      <c r="G743" s="3" t="n"/>
      <c r="H743" s="4" t="n"/>
      <c r="L743" s="2" t="n"/>
      <c r="N743" s="2" t="n"/>
    </row>
    <row r="744">
      <c r="D744" s="2" t="n"/>
      <c r="E744" s="3" t="n"/>
      <c r="F744" s="3" t="n"/>
      <c r="G744" s="3" t="n"/>
      <c r="H744" s="4" t="n"/>
      <c r="L744" s="2" t="n"/>
      <c r="N744" s="2" t="n"/>
    </row>
    <row r="745">
      <c r="D745" s="2" t="n"/>
      <c r="E745" s="3" t="n"/>
      <c r="F745" s="3" t="n"/>
      <c r="G745" s="3" t="n"/>
      <c r="H745" s="4" t="n"/>
      <c r="L745" s="2" t="n"/>
      <c r="N745" s="2" t="n"/>
    </row>
    <row r="746">
      <c r="D746" s="2" t="n"/>
      <c r="E746" s="3" t="n"/>
      <c r="F746" s="3" t="n"/>
      <c r="G746" s="3" t="n"/>
      <c r="H746" s="4" t="n"/>
      <c r="L746" s="2" t="n"/>
      <c r="N746" s="2" t="n"/>
    </row>
    <row r="747">
      <c r="D747" s="2" t="n"/>
      <c r="E747" s="3" t="n"/>
      <c r="F747" s="3" t="n"/>
      <c r="G747" s="3" t="n"/>
      <c r="H747" s="4" t="n"/>
      <c r="L747" s="2" t="n"/>
      <c r="N747" s="2" t="n"/>
    </row>
    <row r="748">
      <c r="D748" s="2" t="n"/>
      <c r="E748" s="3" t="n"/>
      <c r="F748" s="3" t="n"/>
      <c r="G748" s="3" t="n"/>
      <c r="H748" s="4" t="n"/>
      <c r="L748" s="2" t="n"/>
      <c r="N748" s="2" t="n"/>
    </row>
    <row r="749">
      <c r="D749" s="2" t="n"/>
      <c r="E749" s="3" t="n"/>
      <c r="F749" s="3" t="n"/>
      <c r="G749" s="3" t="n"/>
      <c r="H749" s="4" t="n"/>
      <c r="L749" s="2" t="n"/>
      <c r="N749" s="2" t="n"/>
    </row>
    <row r="750">
      <c r="D750" s="2" t="n"/>
      <c r="E750" s="3" t="n"/>
      <c r="F750" s="3" t="n"/>
      <c r="G750" s="3" t="n"/>
      <c r="H750" s="4" t="n"/>
      <c r="L750" s="2" t="n"/>
      <c r="N750" s="2" t="n"/>
    </row>
    <row r="751">
      <c r="D751" s="2" t="n"/>
      <c r="E751" s="3" t="n"/>
      <c r="F751" s="3" t="n"/>
      <c r="G751" s="3" t="n"/>
      <c r="H751" s="4" t="n"/>
      <c r="L751" s="2" t="n"/>
      <c r="N751" s="2" t="n"/>
    </row>
    <row r="752">
      <c r="D752" s="2" t="n"/>
      <c r="E752" s="3" t="n"/>
      <c r="F752" s="3" t="n"/>
      <c r="G752" s="3" t="n"/>
      <c r="H752" s="4" t="n"/>
      <c r="L752" s="2" t="n"/>
      <c r="N752" s="2" t="n"/>
    </row>
    <row r="753">
      <c r="D753" s="2" t="n"/>
      <c r="E753" s="3" t="n"/>
      <c r="F753" s="3" t="n"/>
      <c r="G753" s="3" t="n"/>
      <c r="H753" s="4" t="n"/>
      <c r="L753" s="2" t="n"/>
      <c r="N753" s="2" t="n"/>
    </row>
    <row r="754">
      <c r="D754" s="2" t="n"/>
      <c r="E754" s="3" t="n"/>
      <c r="F754" s="3" t="n"/>
      <c r="G754" s="3" t="n"/>
      <c r="H754" s="4" t="n"/>
      <c r="L754" s="2" t="n"/>
      <c r="N754" s="2" t="n"/>
    </row>
    <row r="755">
      <c r="D755" s="2" t="n"/>
      <c r="E755" s="3" t="n"/>
      <c r="F755" s="3" t="n"/>
      <c r="G755" s="3" t="n"/>
      <c r="H755" s="4" t="n"/>
      <c r="L755" s="2" t="n"/>
      <c r="N755" s="2" t="n"/>
    </row>
    <row r="756">
      <c r="D756" s="2" t="n"/>
      <c r="E756" s="3" t="n"/>
      <c r="F756" s="3" t="n"/>
      <c r="G756" s="3" t="n"/>
      <c r="H756" s="4" t="n"/>
      <c r="L756" s="2" t="n"/>
      <c r="N756" s="2" t="n"/>
    </row>
    <row r="757">
      <c r="D757" s="2" t="n"/>
      <c r="E757" s="3" t="n"/>
      <c r="F757" s="3" t="n"/>
      <c r="G757" s="3" t="n"/>
      <c r="H757" s="4" t="n"/>
      <c r="L757" s="2" t="n"/>
      <c r="N757" s="2" t="n"/>
    </row>
    <row r="758">
      <c r="D758" s="2" t="n"/>
      <c r="E758" s="3" t="n"/>
      <c r="F758" s="3" t="n"/>
      <c r="G758" s="3" t="n"/>
      <c r="H758" s="4" t="n"/>
      <c r="L758" s="2" t="n"/>
      <c r="N758" s="2" t="n"/>
    </row>
    <row r="759">
      <c r="D759" s="2" t="n"/>
      <c r="E759" s="3" t="n"/>
      <c r="F759" s="3" t="n"/>
      <c r="G759" s="3" t="n"/>
      <c r="H759" s="4" t="n"/>
      <c r="L759" s="2" t="n"/>
      <c r="N759" s="2" t="n"/>
    </row>
    <row r="760">
      <c r="D760" s="2" t="n"/>
      <c r="E760" s="3" t="n"/>
      <c r="F760" s="3" t="n"/>
      <c r="G760" s="3" t="n"/>
      <c r="H760" s="4" t="n"/>
      <c r="L760" s="2" t="n"/>
      <c r="N760" s="2" t="n"/>
    </row>
    <row r="761">
      <c r="D761" s="2" t="n"/>
      <c r="E761" s="3" t="n"/>
      <c r="F761" s="3" t="n"/>
      <c r="G761" s="3" t="n"/>
      <c r="H761" s="4" t="n"/>
      <c r="L761" s="2" t="n"/>
      <c r="N761" s="2" t="n"/>
    </row>
    <row r="762">
      <c r="D762" s="2" t="n"/>
      <c r="E762" s="3" t="n"/>
      <c r="F762" s="3" t="n"/>
      <c r="G762" s="3" t="n"/>
      <c r="H762" s="4" t="n"/>
      <c r="L762" s="2" t="n"/>
      <c r="N762" s="2" t="n"/>
    </row>
    <row r="763">
      <c r="D763" s="2" t="n"/>
      <c r="E763" s="3" t="n"/>
      <c r="F763" s="3" t="n"/>
      <c r="G763" s="3" t="n"/>
      <c r="H763" s="4" t="n"/>
      <c r="L763" s="2" t="n"/>
      <c r="N763" s="2" t="n"/>
    </row>
    <row r="764">
      <c r="D764" s="2" t="n"/>
      <c r="E764" s="3" t="n"/>
      <c r="F764" s="3" t="n"/>
      <c r="G764" s="3" t="n"/>
      <c r="H764" s="4" t="n"/>
      <c r="L764" s="2" t="n"/>
      <c r="N764" s="2" t="n"/>
    </row>
    <row r="765">
      <c r="D765" s="2" t="n"/>
      <c r="E765" s="3" t="n"/>
      <c r="F765" s="3" t="n"/>
      <c r="G765" s="3" t="n"/>
      <c r="H765" s="4" t="n"/>
      <c r="L765" s="2" t="n"/>
      <c r="N765" s="2" t="n"/>
    </row>
    <row r="766">
      <c r="D766" s="2" t="n"/>
      <c r="E766" s="3" t="n"/>
      <c r="F766" s="3" t="n"/>
      <c r="G766" s="3" t="n"/>
      <c r="H766" s="4" t="n"/>
      <c r="L766" s="2" t="n"/>
      <c r="N766" s="2" t="n"/>
    </row>
    <row r="767">
      <c r="D767" s="2" t="n"/>
      <c r="E767" s="3" t="n"/>
      <c r="F767" s="3" t="n"/>
      <c r="G767" s="3" t="n"/>
      <c r="H767" s="4" t="n"/>
      <c r="L767" s="2" t="n"/>
      <c r="N767" s="2" t="n"/>
    </row>
    <row r="768">
      <c r="D768" s="2" t="n"/>
      <c r="E768" s="3" t="n"/>
      <c r="F768" s="3" t="n"/>
      <c r="G768" s="3" t="n"/>
      <c r="H768" s="4" t="n"/>
      <c r="L768" s="2" t="n"/>
      <c r="N768" s="2" t="n"/>
    </row>
    <row r="769">
      <c r="D769" s="2" t="n"/>
      <c r="E769" s="3" t="n"/>
      <c r="F769" s="3" t="n"/>
      <c r="G769" s="3" t="n"/>
      <c r="H769" s="4" t="n"/>
      <c r="L769" s="2" t="n"/>
      <c r="N769" s="2" t="n"/>
    </row>
    <row r="770">
      <c r="D770" s="2" t="n"/>
      <c r="E770" s="3" t="n"/>
      <c r="F770" s="3" t="n"/>
      <c r="G770" s="3" t="n"/>
      <c r="H770" s="4" t="n"/>
      <c r="L770" s="2" t="n"/>
      <c r="N770" s="2" t="n"/>
    </row>
    <row r="771">
      <c r="D771" s="2" t="n"/>
      <c r="E771" s="3" t="n"/>
      <c r="F771" s="3" t="n"/>
      <c r="G771" s="3" t="n"/>
      <c r="H771" s="4" t="n"/>
      <c r="L771" s="2" t="n"/>
      <c r="N771" s="2" t="n"/>
    </row>
    <row r="772">
      <c r="D772" s="2" t="n"/>
      <c r="E772" s="3" t="n"/>
      <c r="F772" s="3" t="n"/>
      <c r="G772" s="3" t="n"/>
      <c r="H772" s="4" t="n"/>
      <c r="L772" s="2" t="n"/>
      <c r="N772" s="2" t="n"/>
    </row>
    <row r="773">
      <c r="D773" s="2" t="n"/>
      <c r="E773" s="3" t="n"/>
      <c r="F773" s="3" t="n"/>
      <c r="G773" s="3" t="n"/>
      <c r="H773" s="4" t="n"/>
      <c r="L773" s="2" t="n"/>
      <c r="N773" s="2" t="n"/>
    </row>
    <row r="774">
      <c r="D774" s="2" t="n"/>
      <c r="E774" s="3" t="n"/>
      <c r="F774" s="3" t="n"/>
      <c r="G774" s="3" t="n"/>
      <c r="H774" s="4" t="n"/>
      <c r="L774" s="2" t="n"/>
      <c r="N774" s="2" t="n"/>
    </row>
    <row r="775">
      <c r="D775" s="2" t="n"/>
      <c r="E775" s="3" t="n"/>
      <c r="F775" s="3" t="n"/>
      <c r="G775" s="3" t="n"/>
      <c r="H775" s="4" t="n"/>
      <c r="L775" s="2" t="n"/>
      <c r="N775" s="2" t="n"/>
    </row>
    <row r="776">
      <c r="D776" s="2" t="n"/>
      <c r="E776" s="3" t="n"/>
      <c r="F776" s="3" t="n"/>
      <c r="G776" s="3" t="n"/>
      <c r="H776" s="4" t="n"/>
      <c r="L776" s="2" t="n"/>
      <c r="N776" s="2" t="n"/>
    </row>
    <row r="777">
      <c r="D777" s="2" t="n"/>
      <c r="E777" s="3" t="n"/>
      <c r="F777" s="3" t="n"/>
      <c r="G777" s="3" t="n"/>
      <c r="H777" s="4" t="n"/>
      <c r="L777" s="2" t="n"/>
      <c r="N777" s="2" t="n"/>
    </row>
    <row r="778">
      <c r="D778" s="2" t="n"/>
      <c r="E778" s="3" t="n"/>
      <c r="F778" s="3" t="n"/>
      <c r="G778" s="3" t="n"/>
      <c r="H778" s="4" t="n"/>
      <c r="L778" s="2" t="n"/>
      <c r="N778" s="2" t="n"/>
    </row>
    <row r="779">
      <c r="D779" s="2" t="n"/>
      <c r="E779" s="3" t="n"/>
      <c r="F779" s="3" t="n"/>
      <c r="G779" s="3" t="n"/>
      <c r="H779" s="4" t="n"/>
      <c r="L779" s="2" t="n"/>
      <c r="N779" s="2" t="n"/>
    </row>
    <row r="780">
      <c r="D780" s="2" t="n"/>
      <c r="E780" s="3" t="n"/>
      <c r="F780" s="3" t="n"/>
      <c r="G780" s="3" t="n"/>
      <c r="H780" s="4" t="n"/>
      <c r="L780" s="2" t="n"/>
      <c r="N780" s="2" t="n"/>
    </row>
    <row r="781">
      <c r="D781" s="2" t="n"/>
      <c r="E781" s="3" t="n"/>
      <c r="F781" s="3" t="n"/>
      <c r="G781" s="3" t="n"/>
      <c r="H781" s="4" t="n"/>
      <c r="L781" s="2" t="n"/>
      <c r="N781" s="2" t="n"/>
    </row>
    <row r="782">
      <c r="D782" s="2" t="n"/>
      <c r="E782" s="3" t="n"/>
      <c r="F782" s="3" t="n"/>
      <c r="G782" s="3" t="n"/>
      <c r="H782" s="4" t="n"/>
      <c r="L782" s="2" t="n"/>
      <c r="N782" s="2" t="n"/>
    </row>
    <row r="783">
      <c r="D783" s="2" t="n"/>
      <c r="E783" s="3" t="n"/>
      <c r="F783" s="3" t="n"/>
      <c r="G783" s="3" t="n"/>
      <c r="H783" s="4" t="n"/>
      <c r="L783" s="2" t="n"/>
      <c r="N783" s="2" t="n"/>
    </row>
    <row r="784">
      <c r="D784" s="2" t="n"/>
      <c r="E784" s="3" t="n"/>
      <c r="F784" s="3" t="n"/>
      <c r="G784" s="3" t="n"/>
      <c r="H784" s="4" t="n"/>
      <c r="L784" s="2" t="n"/>
      <c r="N784" s="2" t="n"/>
    </row>
    <row r="785">
      <c r="D785" s="2" t="n"/>
      <c r="E785" s="3" t="n"/>
      <c r="F785" s="3" t="n"/>
      <c r="G785" s="3" t="n"/>
      <c r="H785" s="4" t="n"/>
      <c r="L785" s="2" t="n"/>
      <c r="N785" s="2" t="n"/>
    </row>
    <row r="786">
      <c r="D786" s="2" t="n"/>
      <c r="E786" s="3" t="n"/>
      <c r="F786" s="3" t="n"/>
      <c r="G786" s="3" t="n"/>
      <c r="H786" s="4" t="n"/>
      <c r="L786" s="2" t="n"/>
      <c r="N786" s="2" t="n"/>
    </row>
    <row r="787">
      <c r="D787" s="2" t="n"/>
      <c r="E787" s="3" t="n"/>
      <c r="F787" s="3" t="n"/>
      <c r="G787" s="3" t="n"/>
      <c r="H787" s="4" t="n"/>
      <c r="L787" s="2" t="n"/>
      <c r="N787" s="2" t="n"/>
    </row>
    <row r="788">
      <c r="D788" s="2" t="n"/>
      <c r="E788" s="3" t="n"/>
      <c r="F788" s="3" t="n"/>
      <c r="G788" s="3" t="n"/>
      <c r="H788" s="4" t="n"/>
      <c r="L788" s="2" t="n"/>
      <c r="N788" s="2" t="n"/>
    </row>
    <row r="789">
      <c r="D789" s="2" t="n"/>
      <c r="E789" s="3" t="n"/>
      <c r="F789" s="3" t="n"/>
      <c r="G789" s="3" t="n"/>
      <c r="H789" s="4" t="n"/>
      <c r="L789" s="2" t="n"/>
      <c r="N789" s="2" t="n"/>
    </row>
    <row r="790">
      <c r="D790" s="2" t="n"/>
      <c r="E790" s="3" t="n"/>
      <c r="F790" s="3" t="n"/>
      <c r="G790" s="3" t="n"/>
      <c r="H790" s="4" t="n"/>
      <c r="L790" s="2" t="n"/>
      <c r="N790" s="2" t="n"/>
    </row>
    <row r="791">
      <c r="D791" s="2" t="n"/>
      <c r="E791" s="3" t="n"/>
      <c r="F791" s="3" t="n"/>
      <c r="G791" s="3" t="n"/>
      <c r="H791" s="4" t="n"/>
      <c r="L791" s="2" t="n"/>
      <c r="N791" s="2" t="n"/>
    </row>
    <row r="792">
      <c r="D792" s="2" t="n"/>
      <c r="E792" s="3" t="n"/>
      <c r="F792" s="3" t="n"/>
      <c r="G792" s="3" t="n"/>
      <c r="H792" s="4" t="n"/>
      <c r="L792" s="2" t="n"/>
      <c r="N792" s="2" t="n"/>
    </row>
    <row r="793">
      <c r="D793" s="2" t="n"/>
      <c r="E793" s="3" t="n"/>
      <c r="F793" s="3" t="n"/>
      <c r="G793" s="3" t="n"/>
      <c r="H793" s="4" t="n"/>
      <c r="L793" s="2" t="n"/>
      <c r="N793" s="2" t="n"/>
    </row>
    <row r="794">
      <c r="D794" s="2" t="n"/>
      <c r="E794" s="3" t="n"/>
      <c r="F794" s="3" t="n"/>
      <c r="G794" s="3" t="n"/>
      <c r="H794" s="4" t="n"/>
      <c r="L794" s="2" t="n"/>
      <c r="N794" s="2" t="n"/>
    </row>
    <row r="795">
      <c r="D795" s="2" t="n"/>
      <c r="E795" s="3" t="n"/>
      <c r="F795" s="3" t="n"/>
      <c r="G795" s="3" t="n"/>
      <c r="H795" s="4" t="n"/>
      <c r="L795" s="2" t="n"/>
      <c r="N795" s="2" t="n"/>
    </row>
    <row r="796">
      <c r="D796" s="2" t="n"/>
      <c r="E796" s="3" t="n"/>
      <c r="F796" s="3" t="n"/>
      <c r="G796" s="3" t="n"/>
      <c r="H796" s="4" t="n"/>
      <c r="L796" s="2" t="n"/>
      <c r="N796" s="2" t="n"/>
    </row>
    <row r="797">
      <c r="D797" s="2" t="n"/>
      <c r="E797" s="3" t="n"/>
      <c r="F797" s="3" t="n"/>
      <c r="G797" s="3" t="n"/>
      <c r="H797" s="4" t="n"/>
      <c r="L797" s="2" t="n"/>
      <c r="N797" s="2" t="n"/>
    </row>
    <row r="798">
      <c r="D798" s="2" t="n"/>
      <c r="E798" s="3" t="n"/>
      <c r="F798" s="3" t="n"/>
      <c r="G798" s="3" t="n"/>
      <c r="H798" s="4" t="n"/>
      <c r="L798" s="2" t="n"/>
      <c r="N798" s="2" t="n"/>
    </row>
    <row r="799">
      <c r="D799" s="2" t="n"/>
      <c r="E799" s="3" t="n"/>
      <c r="F799" s="3" t="n"/>
      <c r="G799" s="3" t="n"/>
      <c r="H799" s="4" t="n"/>
      <c r="L799" s="2" t="n"/>
      <c r="N799" s="2" t="n"/>
    </row>
    <row r="800">
      <c r="D800" s="2" t="n"/>
      <c r="E800" s="3" t="n"/>
      <c r="F800" s="3" t="n"/>
      <c r="G800" s="3" t="n"/>
      <c r="H800" s="4" t="n"/>
      <c r="L800" s="2" t="n"/>
      <c r="N800" s="2" t="n"/>
    </row>
    <row r="801">
      <c r="D801" s="2" t="n"/>
      <c r="E801" s="3" t="n"/>
      <c r="F801" s="3" t="n"/>
      <c r="G801" s="3" t="n"/>
      <c r="H801" s="4" t="n"/>
      <c r="L801" s="2" t="n"/>
      <c r="N801" s="2" t="n"/>
    </row>
    <row r="802">
      <c r="D802" s="2" t="n"/>
      <c r="E802" s="3" t="n"/>
      <c r="F802" s="3" t="n"/>
      <c r="G802" s="3" t="n"/>
      <c r="H802" s="4" t="n"/>
      <c r="L802" s="2" t="n"/>
      <c r="N802" s="2" t="n"/>
    </row>
    <row r="803">
      <c r="D803" s="2" t="n"/>
      <c r="E803" s="3" t="n"/>
      <c r="F803" s="3" t="n"/>
      <c r="G803" s="3" t="n"/>
      <c r="H803" s="4" t="n"/>
      <c r="L803" s="2" t="n"/>
      <c r="N803" s="2" t="n"/>
    </row>
    <row r="804">
      <c r="D804" s="2" t="n"/>
      <c r="E804" s="3" t="n"/>
      <c r="F804" s="3" t="n"/>
      <c r="G804" s="3" t="n"/>
      <c r="H804" s="4" t="n"/>
      <c r="L804" s="2" t="n"/>
      <c r="N804" s="2" t="n"/>
    </row>
    <row r="805">
      <c r="D805" s="2" t="n"/>
      <c r="E805" s="3" t="n"/>
      <c r="F805" s="3" t="n"/>
      <c r="G805" s="3" t="n"/>
      <c r="H805" s="4" t="n"/>
      <c r="L805" s="2" t="n"/>
      <c r="N805" s="2" t="n"/>
    </row>
    <row r="806">
      <c r="D806" s="2" t="n"/>
      <c r="E806" s="3" t="n"/>
      <c r="F806" s="3" t="n"/>
      <c r="G806" s="3" t="n"/>
      <c r="H806" s="4" t="n"/>
      <c r="L806" s="2" t="n"/>
      <c r="N806" s="2" t="n"/>
    </row>
    <row r="807">
      <c r="D807" s="2" t="n"/>
      <c r="E807" s="3" t="n"/>
      <c r="F807" s="3" t="n"/>
      <c r="G807" s="3" t="n"/>
      <c r="H807" s="4" t="n"/>
      <c r="L807" s="2" t="n"/>
      <c r="N807" s="2" t="n"/>
    </row>
    <row r="808">
      <c r="D808" s="2" t="n"/>
      <c r="E808" s="3" t="n"/>
      <c r="F808" s="3" t="n"/>
      <c r="G808" s="3" t="n"/>
      <c r="H808" s="4" t="n"/>
      <c r="L808" s="2" t="n"/>
      <c r="N808" s="2" t="n"/>
    </row>
    <row r="809">
      <c r="D809" s="2" t="n"/>
      <c r="E809" s="3" t="n"/>
      <c r="F809" s="3" t="n"/>
      <c r="G809" s="3" t="n"/>
      <c r="H809" s="4" t="n"/>
      <c r="L809" s="2" t="n"/>
      <c r="N809" s="2" t="n"/>
    </row>
    <row r="810">
      <c r="D810" s="2" t="n"/>
      <c r="E810" s="3" t="n"/>
      <c r="F810" s="3" t="n"/>
      <c r="G810" s="3" t="n"/>
      <c r="H810" s="4" t="n"/>
      <c r="L810" s="2" t="n"/>
      <c r="N810" s="2" t="n"/>
    </row>
    <row r="811">
      <c r="D811" s="2" t="n"/>
      <c r="E811" s="3" t="n"/>
      <c r="F811" s="3" t="n"/>
      <c r="G811" s="3" t="n"/>
      <c r="H811" s="4" t="n"/>
      <c r="L811" s="2" t="n"/>
      <c r="N811" s="2" t="n"/>
    </row>
    <row r="812">
      <c r="D812" s="2" t="n"/>
      <c r="E812" s="3" t="n"/>
      <c r="F812" s="3" t="n"/>
      <c r="G812" s="3" t="n"/>
      <c r="H812" s="4" t="n"/>
      <c r="L812" s="2" t="n"/>
      <c r="N812" s="2" t="n"/>
    </row>
    <row r="813">
      <c r="D813" s="2" t="n"/>
      <c r="E813" s="3" t="n"/>
      <c r="F813" s="3" t="n"/>
      <c r="G813" s="3" t="n"/>
      <c r="H813" s="4" t="n"/>
      <c r="L813" s="2" t="n"/>
      <c r="N813" s="2" t="n"/>
    </row>
    <row r="814">
      <c r="D814" s="2" t="n"/>
      <c r="E814" s="3" t="n"/>
      <c r="F814" s="3" t="n"/>
      <c r="G814" s="3" t="n"/>
      <c r="H814" s="4" t="n"/>
      <c r="L814" s="2" t="n"/>
      <c r="N814" s="2" t="n"/>
    </row>
    <row r="815">
      <c r="D815" s="2" t="n"/>
      <c r="E815" s="3" t="n"/>
      <c r="F815" s="3" t="n"/>
      <c r="G815" s="3" t="n"/>
      <c r="H815" s="4" t="n"/>
      <c r="L815" s="2" t="n"/>
      <c r="N815" s="2" t="n"/>
    </row>
    <row r="816">
      <c r="D816" s="2" t="n"/>
      <c r="E816" s="3" t="n"/>
      <c r="F816" s="3" t="n"/>
      <c r="G816" s="3" t="n"/>
      <c r="H816" s="4" t="n"/>
      <c r="L816" s="2" t="n"/>
      <c r="N816" s="2" t="n"/>
    </row>
    <row r="817">
      <c r="D817" s="2" t="n"/>
      <c r="E817" s="3" t="n"/>
      <c r="F817" s="3" t="n"/>
      <c r="G817" s="3" t="n"/>
      <c r="H817" s="4" t="n"/>
      <c r="L817" s="2" t="n"/>
      <c r="N817" s="2" t="n"/>
    </row>
    <row r="818">
      <c r="D818" s="2" t="n"/>
      <c r="E818" s="3" t="n"/>
      <c r="F818" s="3" t="n"/>
      <c r="G818" s="3" t="n"/>
      <c r="H818" s="4" t="n"/>
      <c r="L818" s="2" t="n"/>
      <c r="N818" s="2" t="n"/>
    </row>
    <row r="819">
      <c r="D819" s="2" t="n"/>
      <c r="E819" s="3" t="n"/>
      <c r="F819" s="3" t="n"/>
      <c r="G819" s="3" t="n"/>
      <c r="H819" s="4" t="n"/>
      <c r="L819" s="2" t="n"/>
      <c r="N819" s="2" t="n"/>
    </row>
    <row r="820">
      <c r="D820" s="2" t="n"/>
      <c r="E820" s="3" t="n"/>
      <c r="F820" s="3" t="n"/>
      <c r="G820" s="3" t="n"/>
      <c r="H820" s="4" t="n"/>
      <c r="L820" s="2" t="n"/>
      <c r="N820" s="2" t="n"/>
    </row>
    <row r="821">
      <c r="D821" s="2" t="n"/>
      <c r="E821" s="3" t="n"/>
      <c r="F821" s="3" t="n"/>
      <c r="G821" s="3" t="n"/>
      <c r="H821" s="4" t="n"/>
      <c r="L821" s="2" t="n"/>
      <c r="N821" s="2" t="n"/>
    </row>
    <row r="822">
      <c r="D822" s="2" t="n"/>
      <c r="E822" s="3" t="n"/>
      <c r="F822" s="3" t="n"/>
      <c r="G822" s="3" t="n"/>
      <c r="H822" s="4" t="n"/>
      <c r="L822" s="2" t="n"/>
      <c r="N822" s="2" t="n"/>
    </row>
    <row r="823">
      <c r="D823" s="2" t="n"/>
      <c r="E823" s="3" t="n"/>
      <c r="F823" s="3" t="n"/>
      <c r="G823" s="3" t="n"/>
      <c r="H823" s="4" t="n"/>
      <c r="L823" s="2" t="n"/>
      <c r="N823" s="2" t="n"/>
    </row>
    <row r="824">
      <c r="D824" s="2" t="n"/>
      <c r="E824" s="3" t="n"/>
      <c r="F824" s="3" t="n"/>
      <c r="G824" s="3" t="n"/>
      <c r="H824" s="4" t="n"/>
      <c r="L824" s="2" t="n"/>
      <c r="N824" s="2" t="n"/>
    </row>
    <row r="825">
      <c r="D825" s="2" t="n"/>
      <c r="E825" s="3" t="n"/>
      <c r="F825" s="3" t="n"/>
      <c r="G825" s="3" t="n"/>
      <c r="H825" s="4" t="n"/>
      <c r="L825" s="2" t="n"/>
      <c r="N825" s="2" t="n"/>
    </row>
    <row r="826">
      <c r="D826" s="2" t="n"/>
      <c r="E826" s="3" t="n"/>
      <c r="F826" s="3" t="n"/>
      <c r="G826" s="3" t="n"/>
      <c r="H826" s="4" t="n"/>
      <c r="L826" s="2" t="n"/>
      <c r="N826" s="2" t="n"/>
    </row>
    <row r="827">
      <c r="D827" s="2" t="n"/>
      <c r="E827" s="3" t="n"/>
      <c r="F827" s="3" t="n"/>
      <c r="G827" s="3" t="n"/>
      <c r="H827" s="4" t="n"/>
      <c r="L827" s="2" t="n"/>
      <c r="N827" s="2" t="n"/>
    </row>
    <row r="828">
      <c r="D828" s="2" t="n"/>
      <c r="E828" s="3" t="n"/>
      <c r="F828" s="3" t="n"/>
      <c r="G828" s="3" t="n"/>
      <c r="H828" s="4" t="n"/>
      <c r="L828" s="2" t="n"/>
      <c r="N828" s="2" t="n"/>
    </row>
    <row r="829">
      <c r="D829" s="2" t="n"/>
      <c r="E829" s="3" t="n"/>
      <c r="F829" s="3" t="n"/>
      <c r="G829" s="3" t="n"/>
      <c r="H829" s="4" t="n"/>
      <c r="L829" s="2" t="n"/>
      <c r="N829" s="2" t="n"/>
    </row>
    <row r="830">
      <c r="D830" s="2" t="n"/>
      <c r="E830" s="3" t="n"/>
      <c r="F830" s="3" t="n"/>
      <c r="G830" s="3" t="n"/>
      <c r="H830" s="4" t="n"/>
      <c r="L830" s="2" t="n"/>
      <c r="N830" s="2" t="n"/>
    </row>
    <row r="831">
      <c r="D831" s="2" t="n"/>
      <c r="E831" s="3" t="n"/>
      <c r="F831" s="3" t="n"/>
      <c r="G831" s="3" t="n"/>
      <c r="H831" s="4" t="n"/>
      <c r="L831" s="2" t="n"/>
      <c r="N831" s="2" t="n"/>
    </row>
    <row r="832">
      <c r="D832" s="2" t="n"/>
      <c r="E832" s="3" t="n"/>
      <c r="F832" s="3" t="n"/>
      <c r="G832" s="3" t="n"/>
      <c r="H832" s="4" t="n"/>
      <c r="L832" s="2" t="n"/>
      <c r="N832" s="2" t="n"/>
    </row>
    <row r="833">
      <c r="D833" s="2" t="n"/>
      <c r="E833" s="3" t="n"/>
      <c r="F833" s="3" t="n"/>
      <c r="G833" s="3" t="n"/>
      <c r="H833" s="4" t="n"/>
      <c r="L833" s="2" t="n"/>
      <c r="N833" s="2" t="n"/>
    </row>
    <row r="834">
      <c r="D834" s="2" t="n"/>
      <c r="E834" s="3" t="n"/>
      <c r="F834" s="3" t="n"/>
      <c r="G834" s="3" t="n"/>
      <c r="H834" s="4" t="n"/>
      <c r="L834" s="2" t="n"/>
      <c r="N834" s="2" t="n"/>
    </row>
    <row r="835">
      <c r="D835" s="2" t="n"/>
      <c r="E835" s="3" t="n"/>
      <c r="F835" s="3" t="n"/>
      <c r="G835" s="3" t="n"/>
      <c r="H835" s="4" t="n"/>
      <c r="L835" s="2" t="n"/>
      <c r="N835" s="2" t="n"/>
    </row>
    <row r="836">
      <c r="D836" s="2" t="n"/>
      <c r="E836" s="3" t="n"/>
      <c r="F836" s="3" t="n"/>
      <c r="G836" s="3" t="n"/>
      <c r="H836" s="4" t="n"/>
      <c r="L836" s="2" t="n"/>
      <c r="N836" s="2" t="n"/>
    </row>
    <row r="837">
      <c r="D837" s="2" t="n"/>
      <c r="E837" s="3" t="n"/>
      <c r="F837" s="3" t="n"/>
      <c r="G837" s="3" t="n"/>
      <c r="H837" s="4" t="n"/>
      <c r="L837" s="2" t="n"/>
      <c r="N837" s="2" t="n"/>
    </row>
    <row r="838">
      <c r="D838" s="2" t="n"/>
      <c r="E838" s="3" t="n"/>
      <c r="F838" s="3" t="n"/>
      <c r="G838" s="3" t="n"/>
      <c r="H838" s="4" t="n"/>
      <c r="L838" s="2" t="n"/>
      <c r="N838" s="2" t="n"/>
    </row>
    <row r="839">
      <c r="D839" s="2" t="n"/>
      <c r="E839" s="3" t="n"/>
      <c r="F839" s="3" t="n"/>
      <c r="G839" s="3" t="n"/>
      <c r="H839" s="4" t="n"/>
      <c r="L839" s="2" t="n"/>
      <c r="N839" s="2" t="n"/>
    </row>
    <row r="840">
      <c r="D840" s="2" t="n"/>
      <c r="E840" s="3" t="n"/>
      <c r="F840" s="3" t="n"/>
      <c r="G840" s="3" t="n"/>
      <c r="H840" s="4" t="n"/>
      <c r="L840" s="2" t="n"/>
      <c r="N840" s="2" t="n"/>
    </row>
    <row r="841">
      <c r="D841" s="2" t="n"/>
      <c r="E841" s="3" t="n"/>
      <c r="F841" s="3" t="n"/>
      <c r="G841" s="3" t="n"/>
      <c r="H841" s="4" t="n"/>
      <c r="L841" s="2" t="n"/>
      <c r="N841" s="2" t="n"/>
    </row>
    <row r="842">
      <c r="D842" s="2" t="n"/>
      <c r="E842" s="3" t="n"/>
      <c r="F842" s="3" t="n"/>
      <c r="G842" s="3" t="n"/>
      <c r="H842" s="4" t="n"/>
      <c r="L842" s="2" t="n"/>
      <c r="N842" s="2" t="n"/>
    </row>
    <row r="843">
      <c r="D843" s="2" t="n"/>
      <c r="E843" s="3" t="n"/>
      <c r="F843" s="3" t="n"/>
      <c r="G843" s="3" t="n"/>
      <c r="H843" s="4" t="n"/>
      <c r="L843" s="2" t="n"/>
      <c r="N843" s="2" t="n"/>
    </row>
    <row r="844">
      <c r="D844" s="2" t="n"/>
      <c r="E844" s="3" t="n"/>
      <c r="F844" s="3" t="n"/>
      <c r="G844" s="3" t="n"/>
      <c r="H844" s="4" t="n"/>
      <c r="L844" s="2" t="n"/>
      <c r="N844" s="2" t="n"/>
    </row>
    <row r="845">
      <c r="D845" s="2" t="n"/>
      <c r="E845" s="3" t="n"/>
      <c r="F845" s="3" t="n"/>
      <c r="G845" s="3" t="n"/>
      <c r="H845" s="4" t="n"/>
      <c r="L845" s="2" t="n"/>
      <c r="N845" s="2" t="n"/>
    </row>
    <row r="846">
      <c r="D846" s="2" t="n"/>
      <c r="E846" s="3" t="n"/>
      <c r="F846" s="3" t="n"/>
      <c r="G846" s="3" t="n"/>
      <c r="H846" s="4" t="n"/>
      <c r="L846" s="2" t="n"/>
      <c r="N846" s="2" t="n"/>
    </row>
    <row r="847">
      <c r="D847" s="2" t="n"/>
      <c r="E847" s="3" t="n"/>
      <c r="F847" s="3" t="n"/>
      <c r="G847" s="3" t="n"/>
      <c r="H847" s="4" t="n"/>
      <c r="L847" s="2" t="n"/>
      <c r="N847" s="2" t="n"/>
    </row>
    <row r="848">
      <c r="D848" s="2" t="n"/>
      <c r="E848" s="3" t="n"/>
      <c r="F848" s="3" t="n"/>
      <c r="G848" s="3" t="n"/>
      <c r="H848" s="4" t="n"/>
      <c r="L848" s="2" t="n"/>
      <c r="N848" s="2" t="n"/>
    </row>
    <row r="849">
      <c r="D849" s="2" t="n"/>
      <c r="E849" s="3" t="n"/>
      <c r="F849" s="3" t="n"/>
      <c r="G849" s="3" t="n"/>
      <c r="H849" s="4" t="n"/>
      <c r="L849" s="2" t="n"/>
      <c r="N849" s="2" t="n"/>
    </row>
    <row r="850">
      <c r="D850" s="2" t="n"/>
      <c r="E850" s="3" t="n"/>
      <c r="F850" s="3" t="n"/>
      <c r="G850" s="3" t="n"/>
      <c r="H850" s="4" t="n"/>
      <c r="L850" s="2" t="n"/>
      <c r="N850" s="2" t="n"/>
    </row>
    <row r="851">
      <c r="D851" s="2" t="n"/>
      <c r="E851" s="3" t="n"/>
      <c r="F851" s="3" t="n"/>
      <c r="G851" s="3" t="n"/>
      <c r="H851" s="4" t="n"/>
      <c r="L851" s="2" t="n"/>
      <c r="N851" s="2" t="n"/>
    </row>
    <row r="852">
      <c r="D852" s="2" t="n"/>
      <c r="E852" s="3" t="n"/>
      <c r="F852" s="3" t="n"/>
      <c r="G852" s="3" t="n"/>
      <c r="H852" s="4" t="n"/>
      <c r="L852" s="2" t="n"/>
      <c r="N852" s="2" t="n"/>
    </row>
    <row r="853">
      <c r="D853" s="2" t="n"/>
      <c r="E853" s="3" t="n"/>
      <c r="F853" s="3" t="n"/>
      <c r="G853" s="3" t="n"/>
      <c r="H853" s="4" t="n"/>
      <c r="L853" s="2" t="n"/>
      <c r="N853" s="2" t="n"/>
    </row>
    <row r="854">
      <c r="D854" s="2" t="n"/>
      <c r="E854" s="3" t="n"/>
      <c r="F854" s="3" t="n"/>
      <c r="G854" s="3" t="n"/>
      <c r="H854" s="4" t="n"/>
      <c r="L854" s="2" t="n"/>
      <c r="N854" s="2" t="n"/>
    </row>
    <row r="855">
      <c r="D855" s="2" t="n"/>
      <c r="E855" s="3" t="n"/>
      <c r="F855" s="3" t="n"/>
      <c r="G855" s="3" t="n"/>
      <c r="H855" s="4" t="n"/>
      <c r="L855" s="2" t="n"/>
      <c r="N855" s="2" t="n"/>
    </row>
    <row r="856">
      <c r="D856" s="2" t="n"/>
      <c r="E856" s="3" t="n"/>
      <c r="F856" s="3" t="n"/>
      <c r="G856" s="3" t="n"/>
      <c r="H856" s="4" t="n"/>
      <c r="L856" s="2" t="n"/>
      <c r="N856" s="2" t="n"/>
    </row>
    <row r="857">
      <c r="D857" s="2" t="n"/>
      <c r="E857" s="3" t="n"/>
      <c r="F857" s="3" t="n"/>
      <c r="G857" s="3" t="n"/>
      <c r="H857" s="4" t="n"/>
      <c r="L857" s="2" t="n"/>
      <c r="N857" s="2" t="n"/>
    </row>
    <row r="858">
      <c r="D858" s="2" t="n"/>
      <c r="E858" s="3" t="n"/>
      <c r="F858" s="3" t="n"/>
      <c r="G858" s="3" t="n"/>
      <c r="H858" s="4" t="n"/>
      <c r="L858" s="2" t="n"/>
      <c r="N858" s="2" t="n"/>
    </row>
    <row r="859">
      <c r="D859" s="2" t="n"/>
      <c r="E859" s="3" t="n"/>
      <c r="F859" s="3" t="n"/>
      <c r="G859" s="3" t="n"/>
      <c r="H859" s="4" t="n"/>
      <c r="L859" s="2" t="n"/>
      <c r="N859" s="2" t="n"/>
    </row>
    <row r="860">
      <c r="D860" s="2" t="n"/>
      <c r="E860" s="3" t="n"/>
      <c r="F860" s="3" t="n"/>
      <c r="G860" s="3" t="n"/>
      <c r="H860" s="4" t="n"/>
      <c r="L860" s="2" t="n"/>
      <c r="N860" s="2" t="n"/>
    </row>
    <row r="861">
      <c r="D861" s="2" t="n"/>
      <c r="E861" s="3" t="n"/>
      <c r="F861" s="3" t="n"/>
      <c r="G861" s="3" t="n"/>
      <c r="H861" s="4" t="n"/>
      <c r="L861" s="2" t="n"/>
      <c r="N861" s="2" t="n"/>
    </row>
    <row r="862">
      <c r="D862" s="2" t="n"/>
      <c r="E862" s="3" t="n"/>
      <c r="F862" s="3" t="n"/>
      <c r="G862" s="3" t="n"/>
      <c r="H862" s="4" t="n"/>
      <c r="L862" s="2" t="n"/>
      <c r="N862" s="2" t="n"/>
    </row>
    <row r="863">
      <c r="D863" s="2" t="n"/>
      <c r="E863" s="3" t="n"/>
      <c r="F863" s="3" t="n"/>
      <c r="G863" s="3" t="n"/>
      <c r="H863" s="4" t="n"/>
      <c r="L863" s="2" t="n"/>
      <c r="N863" s="2" t="n"/>
    </row>
    <row r="864">
      <c r="D864" s="2" t="n"/>
      <c r="E864" s="3" t="n"/>
      <c r="F864" s="3" t="n"/>
      <c r="G864" s="3" t="n"/>
      <c r="H864" s="4" t="n"/>
      <c r="L864" s="2" t="n"/>
      <c r="N864" s="2" t="n"/>
    </row>
    <row r="865">
      <c r="D865" s="2" t="n"/>
      <c r="E865" s="3" t="n"/>
      <c r="F865" s="3" t="n"/>
      <c r="G865" s="3" t="n"/>
      <c r="H865" s="4" t="n"/>
      <c r="L865" s="2" t="n"/>
      <c r="N865" s="2" t="n"/>
    </row>
    <row r="866">
      <c r="D866" s="2" t="n"/>
      <c r="E866" s="3" t="n"/>
      <c r="F866" s="3" t="n"/>
      <c r="G866" s="3" t="n"/>
      <c r="H866" s="4" t="n"/>
      <c r="L866" s="2" t="n"/>
      <c r="N866" s="2" t="n"/>
    </row>
    <row r="867">
      <c r="D867" s="2" t="n"/>
      <c r="E867" s="3" t="n"/>
      <c r="F867" s="3" t="n"/>
      <c r="G867" s="3" t="n"/>
      <c r="H867" s="4" t="n"/>
      <c r="L867" s="2" t="n"/>
      <c r="N867" s="2" t="n"/>
    </row>
    <row r="868">
      <c r="D868" s="2" t="n"/>
      <c r="E868" s="3" t="n"/>
      <c r="F868" s="3" t="n"/>
      <c r="G868" s="3" t="n"/>
      <c r="H868" s="4" t="n"/>
      <c r="L868" s="2" t="n"/>
      <c r="N868" s="2" t="n"/>
    </row>
    <row r="869">
      <c r="D869" s="2" t="n"/>
      <c r="E869" s="3" t="n"/>
      <c r="F869" s="3" t="n"/>
      <c r="G869" s="3" t="n"/>
      <c r="H869" s="4" t="n"/>
      <c r="L869" s="2" t="n"/>
      <c r="N869" s="2" t="n"/>
    </row>
    <row r="870">
      <c r="D870" s="2" t="n"/>
      <c r="E870" s="3" t="n"/>
      <c r="F870" s="3" t="n"/>
      <c r="G870" s="3" t="n"/>
      <c r="H870" s="4" t="n"/>
      <c r="L870" s="2" t="n"/>
      <c r="N870" s="2" t="n"/>
    </row>
    <row r="871">
      <c r="D871" s="2" t="n"/>
      <c r="E871" s="3" t="n"/>
      <c r="F871" s="3" t="n"/>
      <c r="G871" s="3" t="n"/>
      <c r="H871" s="4" t="n"/>
      <c r="L871" s="2" t="n"/>
      <c r="N871" s="2" t="n"/>
    </row>
    <row r="872">
      <c r="D872" s="2" t="n"/>
      <c r="E872" s="3" t="n"/>
      <c r="F872" s="3" t="n"/>
      <c r="G872" s="3" t="n"/>
      <c r="H872" s="4" t="n"/>
      <c r="L872" s="2" t="n"/>
      <c r="N872" s="2" t="n"/>
    </row>
    <row r="873">
      <c r="D873" s="2" t="n"/>
      <c r="E873" s="3" t="n"/>
      <c r="F873" s="3" t="n"/>
      <c r="G873" s="3" t="n"/>
      <c r="H873" s="4" t="n"/>
      <c r="L873" s="2" t="n"/>
      <c r="N873" s="2" t="n"/>
    </row>
    <row r="874">
      <c r="D874" s="2" t="n"/>
      <c r="E874" s="3" t="n"/>
      <c r="F874" s="3" t="n"/>
      <c r="G874" s="3" t="n"/>
      <c r="H874" s="4" t="n"/>
      <c r="L874" s="2" t="n"/>
      <c r="N874" s="2" t="n"/>
    </row>
    <row r="875">
      <c r="D875" s="2" t="n"/>
      <c r="E875" s="3" t="n"/>
      <c r="F875" s="3" t="n"/>
      <c r="G875" s="3" t="n"/>
      <c r="H875" s="4" t="n"/>
      <c r="L875" s="2" t="n"/>
      <c r="N875" s="2" t="n"/>
    </row>
    <row r="876">
      <c r="D876" s="2" t="n"/>
      <c r="E876" s="3" t="n"/>
      <c r="F876" s="3" t="n"/>
      <c r="G876" s="3" t="n"/>
      <c r="H876" s="4" t="n"/>
      <c r="L876" s="2" t="n"/>
      <c r="N876" s="2" t="n"/>
    </row>
    <row r="877">
      <c r="D877" s="2" t="n"/>
      <c r="E877" s="3" t="n"/>
      <c r="F877" s="3" t="n"/>
      <c r="G877" s="3" t="n"/>
      <c r="H877" s="4" t="n"/>
      <c r="L877" s="2" t="n"/>
      <c r="N877" s="2" t="n"/>
    </row>
    <row r="878">
      <c r="D878" s="2" t="n"/>
      <c r="E878" s="3" t="n"/>
      <c r="F878" s="3" t="n"/>
      <c r="G878" s="3" t="n"/>
      <c r="H878" s="4" t="n"/>
      <c r="L878" s="2" t="n"/>
      <c r="N878" s="2" t="n"/>
    </row>
    <row r="879">
      <c r="D879" s="2" t="n"/>
      <c r="E879" s="3" t="n"/>
      <c r="F879" s="3" t="n"/>
      <c r="G879" s="3" t="n"/>
      <c r="H879" s="4" t="n"/>
      <c r="L879" s="2" t="n"/>
      <c r="N879" s="2" t="n"/>
    </row>
    <row r="880">
      <c r="D880" s="2" t="n"/>
      <c r="E880" s="3" t="n"/>
      <c r="F880" s="3" t="n"/>
      <c r="G880" s="3" t="n"/>
      <c r="H880" s="4" t="n"/>
      <c r="L880" s="2" t="n"/>
      <c r="N880" s="2" t="n"/>
    </row>
    <row r="881">
      <c r="D881" s="2" t="n"/>
      <c r="E881" s="3" t="n"/>
      <c r="F881" s="3" t="n"/>
      <c r="G881" s="3" t="n"/>
      <c r="H881" s="4" t="n"/>
      <c r="L881" s="2" t="n"/>
      <c r="N881" s="2" t="n"/>
    </row>
    <row r="882">
      <c r="D882" s="2" t="n"/>
      <c r="E882" s="3" t="n"/>
      <c r="F882" s="3" t="n"/>
      <c r="G882" s="3" t="n"/>
      <c r="H882" s="4" t="n"/>
      <c r="L882" s="2" t="n"/>
      <c r="N882" s="2" t="n"/>
    </row>
    <row r="883">
      <c r="D883" s="2" t="n"/>
      <c r="E883" s="3" t="n"/>
      <c r="F883" s="3" t="n"/>
      <c r="G883" s="3" t="n"/>
      <c r="H883" s="4" t="n"/>
      <c r="L883" s="2" t="n"/>
      <c r="N883" s="2" t="n"/>
    </row>
    <row r="884">
      <c r="D884" s="2" t="n"/>
      <c r="E884" s="3" t="n"/>
      <c r="F884" s="3" t="n"/>
      <c r="G884" s="3" t="n"/>
      <c r="H884" s="4" t="n"/>
      <c r="L884" s="2" t="n"/>
      <c r="N884" s="2" t="n"/>
    </row>
    <row r="885">
      <c r="D885" s="2" t="n"/>
      <c r="E885" s="3" t="n"/>
      <c r="F885" s="3" t="n"/>
      <c r="G885" s="3" t="n"/>
      <c r="H885" s="4" t="n"/>
      <c r="L885" s="2" t="n"/>
      <c r="N885" s="2" t="n"/>
    </row>
    <row r="886">
      <c r="D886" s="2" t="n"/>
      <c r="E886" s="3" t="n"/>
      <c r="F886" s="3" t="n"/>
      <c r="G886" s="3" t="n"/>
      <c r="H886" s="4" t="n"/>
      <c r="L886" s="2" t="n"/>
      <c r="N886" s="2" t="n"/>
    </row>
    <row r="887">
      <c r="D887" s="2" t="n"/>
      <c r="E887" s="3" t="n"/>
      <c r="F887" s="3" t="n"/>
      <c r="G887" s="3" t="n"/>
      <c r="H887" s="4" t="n"/>
      <c r="L887" s="2" t="n"/>
      <c r="N887" s="2" t="n"/>
    </row>
    <row r="888">
      <c r="D888" s="2" t="n"/>
      <c r="E888" s="3" t="n"/>
      <c r="F888" s="3" t="n"/>
      <c r="G888" s="3" t="n"/>
      <c r="H888" s="4" t="n"/>
      <c r="L888" s="2" t="n"/>
      <c r="N888" s="2" t="n"/>
    </row>
    <row r="889">
      <c r="D889" s="2" t="n"/>
      <c r="E889" s="3" t="n"/>
      <c r="F889" s="3" t="n"/>
      <c r="G889" s="3" t="n"/>
      <c r="H889" s="4" t="n"/>
      <c r="L889" s="2" t="n"/>
      <c r="N889" s="2" t="n"/>
    </row>
    <row r="890">
      <c r="D890" s="2" t="n"/>
      <c r="E890" s="3" t="n"/>
      <c r="F890" s="3" t="n"/>
      <c r="G890" s="3" t="n"/>
      <c r="H890" s="4" t="n"/>
      <c r="L890" s="2" t="n"/>
      <c r="N890" s="2" t="n"/>
    </row>
    <row r="891">
      <c r="D891" s="2" t="n"/>
      <c r="E891" s="3" t="n"/>
      <c r="F891" s="3" t="n"/>
      <c r="G891" s="3" t="n"/>
      <c r="H891" s="4" t="n"/>
      <c r="L891" s="2" t="n"/>
      <c r="N891" s="2" t="n"/>
    </row>
    <row r="892">
      <c r="D892" s="2" t="n"/>
      <c r="E892" s="3" t="n"/>
      <c r="F892" s="3" t="n"/>
      <c r="G892" s="3" t="n"/>
      <c r="H892" s="4" t="n"/>
      <c r="L892" s="2" t="n"/>
      <c r="N892" s="2" t="n"/>
    </row>
    <row r="893">
      <c r="D893" s="2" t="n"/>
      <c r="E893" s="3" t="n"/>
      <c r="F893" s="3" t="n"/>
      <c r="G893" s="3" t="n"/>
      <c r="H893" s="4" t="n"/>
      <c r="L893" s="2" t="n"/>
      <c r="N893" s="2" t="n"/>
    </row>
    <row r="894">
      <c r="D894" s="2" t="n"/>
      <c r="E894" s="3" t="n"/>
      <c r="F894" s="3" t="n"/>
      <c r="G894" s="3" t="n"/>
      <c r="H894" s="4" t="n"/>
      <c r="L894" s="2" t="n"/>
      <c r="N894" s="2" t="n"/>
    </row>
    <row r="895">
      <c r="D895" s="2" t="n"/>
      <c r="E895" s="3" t="n"/>
      <c r="F895" s="3" t="n"/>
      <c r="G895" s="3" t="n"/>
      <c r="H895" s="4" t="n"/>
      <c r="L895" s="2" t="n"/>
      <c r="N895" s="2" t="n"/>
    </row>
    <row r="896">
      <c r="D896" s="2" t="n"/>
      <c r="E896" s="3" t="n"/>
      <c r="F896" s="3" t="n"/>
      <c r="G896" s="3" t="n"/>
      <c r="H896" s="4" t="n"/>
      <c r="L896" s="2" t="n"/>
      <c r="N896" s="2" t="n"/>
    </row>
    <row r="897">
      <c r="D897" s="2" t="n"/>
      <c r="E897" s="3" t="n"/>
      <c r="F897" s="3" t="n"/>
      <c r="G897" s="3" t="n"/>
      <c r="H897" s="4" t="n"/>
      <c r="L897" s="2" t="n"/>
      <c r="N897" s="2" t="n"/>
    </row>
    <row r="898">
      <c r="D898" s="2" t="n"/>
      <c r="E898" s="3" t="n"/>
      <c r="F898" s="3" t="n"/>
      <c r="G898" s="3" t="n"/>
      <c r="H898" s="4" t="n"/>
      <c r="L898" s="2" t="n"/>
      <c r="N898" s="2" t="n"/>
    </row>
    <row r="899">
      <c r="D899" s="2" t="n"/>
      <c r="E899" s="3" t="n"/>
      <c r="F899" s="3" t="n"/>
      <c r="G899" s="3" t="n"/>
      <c r="H899" s="4" t="n"/>
      <c r="L899" s="2" t="n"/>
      <c r="N899" s="2" t="n"/>
    </row>
    <row r="900">
      <c r="D900" s="2" t="n"/>
      <c r="E900" s="3" t="n"/>
      <c r="F900" s="3" t="n"/>
      <c r="G900" s="3" t="n"/>
      <c r="H900" s="4" t="n"/>
      <c r="L900" s="2" t="n"/>
      <c r="N900" s="2" t="n"/>
    </row>
    <row r="901">
      <c r="D901" s="2" t="n"/>
      <c r="E901" s="3" t="n"/>
      <c r="F901" s="3" t="n"/>
      <c r="G901" s="3" t="n"/>
      <c r="H901" s="4" t="n"/>
      <c r="L901" s="2" t="n"/>
      <c r="N901" s="2" t="n"/>
    </row>
    <row r="902">
      <c r="D902" s="2" t="n"/>
      <c r="E902" s="3" t="n"/>
      <c r="F902" s="3" t="n"/>
      <c r="G902" s="3" t="n"/>
      <c r="H902" s="4" t="n"/>
      <c r="L902" s="2" t="n"/>
      <c r="N902" s="2" t="n"/>
    </row>
    <row r="903">
      <c r="D903" s="2" t="n"/>
      <c r="E903" s="3" t="n"/>
      <c r="F903" s="3" t="n"/>
      <c r="G903" s="3" t="n"/>
      <c r="H903" s="4" t="n"/>
      <c r="L903" s="2" t="n"/>
      <c r="N903" s="2" t="n"/>
    </row>
    <row r="904">
      <c r="D904" s="2" t="n"/>
      <c r="E904" s="3" t="n"/>
      <c r="F904" s="3" t="n"/>
      <c r="G904" s="3" t="n"/>
      <c r="H904" s="4" t="n"/>
      <c r="L904" s="2" t="n"/>
      <c r="N904" s="2" t="n"/>
    </row>
    <row r="905">
      <c r="D905" s="2" t="n"/>
      <c r="E905" s="3" t="n"/>
      <c r="F905" s="3" t="n"/>
      <c r="G905" s="3" t="n"/>
      <c r="H905" s="4" t="n"/>
      <c r="L905" s="2" t="n"/>
      <c r="N905" s="2" t="n"/>
    </row>
    <row r="906">
      <c r="D906" s="2" t="n"/>
      <c r="E906" s="3" t="n"/>
      <c r="F906" s="3" t="n"/>
      <c r="G906" s="3" t="n"/>
      <c r="H906" s="4" t="n"/>
      <c r="L906" s="2" t="n"/>
      <c r="N906" s="2" t="n"/>
    </row>
    <row r="907">
      <c r="D907" s="2" t="n"/>
      <c r="E907" s="3" t="n"/>
      <c r="F907" s="3" t="n"/>
      <c r="G907" s="3" t="n"/>
      <c r="H907" s="4" t="n"/>
      <c r="L907" s="2" t="n"/>
      <c r="N907" s="2" t="n"/>
    </row>
    <row r="908">
      <c r="D908" s="2" t="n"/>
      <c r="E908" s="3" t="n"/>
      <c r="F908" s="3" t="n"/>
      <c r="G908" s="3" t="n"/>
      <c r="H908" s="4" t="n"/>
      <c r="L908" s="2" t="n"/>
      <c r="N908" s="2" t="n"/>
    </row>
    <row r="909">
      <c r="D909" s="2" t="n"/>
      <c r="E909" s="3" t="n"/>
      <c r="F909" s="3" t="n"/>
      <c r="G909" s="3" t="n"/>
      <c r="H909" s="4" t="n"/>
      <c r="L909" s="2" t="n"/>
      <c r="N909" s="2" t="n"/>
    </row>
    <row r="910">
      <c r="D910" s="2" t="n"/>
      <c r="E910" s="3" t="n"/>
      <c r="F910" s="3" t="n"/>
      <c r="G910" s="3" t="n"/>
      <c r="H910" s="4" t="n"/>
      <c r="L910" s="2" t="n"/>
      <c r="N910" s="2" t="n"/>
    </row>
    <row r="911">
      <c r="D911" s="2" t="n"/>
      <c r="E911" s="3" t="n"/>
      <c r="F911" s="3" t="n"/>
      <c r="G911" s="3" t="n"/>
      <c r="H911" s="4" t="n"/>
      <c r="L911" s="2" t="n"/>
      <c r="N911" s="2" t="n"/>
    </row>
    <row r="912">
      <c r="D912" s="2" t="n"/>
      <c r="E912" s="3" t="n"/>
      <c r="F912" s="3" t="n"/>
      <c r="G912" s="3" t="n"/>
      <c r="H912" s="4" t="n"/>
      <c r="L912" s="2" t="n"/>
      <c r="N912" s="2" t="n"/>
    </row>
    <row r="913">
      <c r="D913" s="2" t="n"/>
      <c r="E913" s="3" t="n"/>
      <c r="F913" s="3" t="n"/>
      <c r="G913" s="3" t="n"/>
      <c r="H913" s="4" t="n"/>
      <c r="L913" s="2" t="n"/>
      <c r="N913" s="2" t="n"/>
    </row>
    <row r="914">
      <c r="D914" s="2" t="n"/>
      <c r="E914" s="3" t="n"/>
      <c r="F914" s="3" t="n"/>
      <c r="G914" s="3" t="n"/>
      <c r="H914" s="4" t="n"/>
      <c r="L914" s="2" t="n"/>
      <c r="N914" s="2" t="n"/>
    </row>
    <row r="915">
      <c r="D915" s="2" t="n"/>
      <c r="E915" s="3" t="n"/>
      <c r="F915" s="3" t="n"/>
      <c r="G915" s="3" t="n"/>
      <c r="H915" s="4" t="n"/>
      <c r="L915" s="2" t="n"/>
      <c r="N915" s="2" t="n"/>
    </row>
    <row r="916">
      <c r="D916" s="2" t="n"/>
      <c r="E916" s="3" t="n"/>
      <c r="F916" s="3" t="n"/>
      <c r="G916" s="3" t="n"/>
      <c r="H916" s="4" t="n"/>
      <c r="L916" s="2" t="n"/>
      <c r="N916" s="2" t="n"/>
    </row>
    <row r="917">
      <c r="D917" s="2" t="n"/>
      <c r="E917" s="3" t="n"/>
      <c r="F917" s="3" t="n"/>
      <c r="G917" s="3" t="n"/>
      <c r="H917" s="4" t="n"/>
      <c r="L917" s="2" t="n"/>
      <c r="N917" s="2" t="n"/>
    </row>
    <row r="918">
      <c r="D918" s="2" t="n"/>
      <c r="E918" s="3" t="n"/>
      <c r="F918" s="3" t="n"/>
      <c r="G918" s="3" t="n"/>
      <c r="H918" s="4" t="n"/>
      <c r="L918" s="2" t="n"/>
      <c r="N918" s="2" t="n"/>
    </row>
    <row r="919">
      <c r="D919" s="2" t="n"/>
      <c r="E919" s="3" t="n"/>
      <c r="F919" s="3" t="n"/>
      <c r="G919" s="3" t="n"/>
      <c r="H919" s="4" t="n"/>
      <c r="L919" s="2" t="n"/>
      <c r="N919" s="2" t="n"/>
    </row>
    <row r="920">
      <c r="D920" s="2" t="n"/>
      <c r="E920" s="3" t="n"/>
      <c r="F920" s="3" t="n"/>
      <c r="G920" s="3" t="n"/>
      <c r="H920" s="4" t="n"/>
      <c r="L920" s="2" t="n"/>
      <c r="N920" s="2" t="n"/>
    </row>
    <row r="921">
      <c r="D921" s="2" t="n"/>
      <c r="E921" s="3" t="n"/>
      <c r="F921" s="3" t="n"/>
      <c r="G921" s="3" t="n"/>
      <c r="H921" s="4" t="n"/>
      <c r="L921" s="2" t="n"/>
      <c r="N921" s="2" t="n"/>
    </row>
    <row r="922">
      <c r="D922" s="2" t="n"/>
      <c r="E922" s="3" t="n"/>
      <c r="F922" s="3" t="n"/>
      <c r="G922" s="3" t="n"/>
      <c r="H922" s="4" t="n"/>
      <c r="L922" s="2" t="n"/>
      <c r="N922" s="2" t="n"/>
    </row>
    <row r="923">
      <c r="D923" s="2" t="n"/>
      <c r="E923" s="3" t="n"/>
      <c r="F923" s="3" t="n"/>
      <c r="G923" s="3" t="n"/>
      <c r="H923" s="4" t="n"/>
      <c r="L923" s="2" t="n"/>
      <c r="N923" s="2" t="n"/>
    </row>
    <row r="924">
      <c r="D924" s="2" t="n"/>
      <c r="E924" s="3" t="n"/>
      <c r="F924" s="3" t="n"/>
      <c r="G924" s="3" t="n"/>
      <c r="H924" s="4" t="n"/>
      <c r="L924" s="2" t="n"/>
      <c r="N924" s="2" t="n"/>
    </row>
    <row r="925">
      <c r="D925" s="2" t="n"/>
      <c r="E925" s="3" t="n"/>
      <c r="F925" s="3" t="n"/>
      <c r="G925" s="3" t="n"/>
      <c r="H925" s="4" t="n"/>
      <c r="L925" s="2" t="n"/>
      <c r="N925" s="2" t="n"/>
    </row>
    <row r="926">
      <c r="D926" s="2" t="n"/>
      <c r="E926" s="3" t="n"/>
      <c r="F926" s="3" t="n"/>
      <c r="G926" s="3" t="n"/>
      <c r="H926" s="4" t="n"/>
      <c r="L926" s="2" t="n"/>
      <c r="N926" s="2" t="n"/>
    </row>
    <row r="927">
      <c r="D927" s="2" t="n"/>
      <c r="E927" s="3" t="n"/>
      <c r="F927" s="3" t="n"/>
      <c r="G927" s="3" t="n"/>
      <c r="H927" s="4" t="n"/>
      <c r="L927" s="2" t="n"/>
      <c r="N927" s="2" t="n"/>
    </row>
    <row r="928">
      <c r="D928" s="2" t="n"/>
      <c r="E928" s="3" t="n"/>
      <c r="F928" s="3" t="n"/>
      <c r="G928" s="3" t="n"/>
      <c r="H928" s="4" t="n"/>
      <c r="L928" s="2" t="n"/>
      <c r="N928" s="2" t="n"/>
    </row>
    <row r="929">
      <c r="D929" s="2" t="n"/>
      <c r="E929" s="3" t="n"/>
      <c r="F929" s="3" t="n"/>
      <c r="G929" s="3" t="n"/>
      <c r="H929" s="4" t="n"/>
      <c r="L929" s="2" t="n"/>
      <c r="N929" s="2" t="n"/>
    </row>
    <row r="930">
      <c r="D930" s="2" t="n"/>
      <c r="E930" s="3" t="n"/>
      <c r="F930" s="3" t="n"/>
      <c r="G930" s="3" t="n"/>
      <c r="H930" s="4" t="n"/>
      <c r="L930" s="2" t="n"/>
      <c r="N930" s="2" t="n"/>
    </row>
    <row r="931">
      <c r="D931" s="2" t="n"/>
      <c r="E931" s="3" t="n"/>
      <c r="F931" s="3" t="n"/>
      <c r="G931" s="3" t="n"/>
      <c r="H931" s="4" t="n"/>
      <c r="L931" s="2" t="n"/>
      <c r="N931" s="2" t="n"/>
    </row>
    <row r="932">
      <c r="D932" s="2" t="n"/>
      <c r="E932" s="3" t="n"/>
      <c r="F932" s="3" t="n"/>
      <c r="G932" s="3" t="n"/>
      <c r="H932" s="4" t="n"/>
      <c r="L932" s="2" t="n"/>
      <c r="N932" s="2" t="n"/>
    </row>
    <row r="933">
      <c r="D933" s="2" t="n"/>
      <c r="E933" s="3" t="n"/>
      <c r="F933" s="3" t="n"/>
      <c r="G933" s="3" t="n"/>
      <c r="H933" s="4" t="n"/>
      <c r="L933" s="2" t="n"/>
      <c r="N933" s="2" t="n"/>
    </row>
    <row r="934">
      <c r="D934" s="2" t="n"/>
      <c r="E934" s="3" t="n"/>
      <c r="F934" s="3" t="n"/>
      <c r="G934" s="3" t="n"/>
      <c r="H934" s="4" t="n"/>
      <c r="L934" s="2" t="n"/>
      <c r="N934" s="2" t="n"/>
    </row>
    <row r="935">
      <c r="D935" s="2" t="n"/>
      <c r="E935" s="3" t="n"/>
      <c r="F935" s="3" t="n"/>
      <c r="G935" s="3" t="n"/>
      <c r="H935" s="4" t="n"/>
      <c r="L935" s="2" t="n"/>
      <c r="N935" s="2" t="n"/>
    </row>
    <row r="936">
      <c r="D936" s="2" t="n"/>
      <c r="E936" s="3" t="n"/>
      <c r="F936" s="3" t="n"/>
      <c r="G936" s="3" t="n"/>
      <c r="H936" s="4" t="n"/>
      <c r="L936" s="2" t="n"/>
      <c r="N936" s="2" t="n"/>
    </row>
    <row r="937">
      <c r="D937" s="2" t="n"/>
      <c r="E937" s="3" t="n"/>
      <c r="F937" s="3" t="n"/>
      <c r="G937" s="3" t="n"/>
      <c r="H937" s="4" t="n"/>
      <c r="L937" s="2" t="n"/>
      <c r="N937" s="2" t="n"/>
    </row>
    <row r="938">
      <c r="D938" s="2" t="n"/>
      <c r="E938" s="3" t="n"/>
      <c r="F938" s="3" t="n"/>
      <c r="G938" s="3" t="n"/>
      <c r="H938" s="4" t="n"/>
      <c r="L938" s="2" t="n"/>
      <c r="N938" s="2" t="n"/>
    </row>
    <row r="939">
      <c r="D939" s="2" t="n"/>
      <c r="E939" s="3" t="n"/>
      <c r="F939" s="3" t="n"/>
      <c r="G939" s="3" t="n"/>
      <c r="H939" s="4" t="n"/>
      <c r="L939" s="2" t="n"/>
      <c r="N939" s="2" t="n"/>
    </row>
    <row r="940">
      <c r="D940" s="2" t="n"/>
      <c r="E940" s="3" t="n"/>
      <c r="F940" s="3" t="n"/>
      <c r="G940" s="3" t="n"/>
      <c r="H940" s="4" t="n"/>
      <c r="L940" s="2" t="n"/>
      <c r="N940" s="2" t="n"/>
    </row>
    <row r="941">
      <c r="D941" s="2" t="n"/>
      <c r="E941" s="3" t="n"/>
      <c r="F941" s="3" t="n"/>
      <c r="G941" s="3" t="n"/>
      <c r="H941" s="4" t="n"/>
      <c r="L941" s="2" t="n"/>
      <c r="N941" s="2" t="n"/>
    </row>
    <row r="942">
      <c r="D942" s="2" t="n"/>
      <c r="E942" s="3" t="n"/>
      <c r="F942" s="3" t="n"/>
      <c r="G942" s="3" t="n"/>
      <c r="H942" s="4" t="n"/>
      <c r="L942" s="2" t="n"/>
      <c r="N942" s="2" t="n"/>
    </row>
    <row r="943">
      <c r="D943" s="2" t="n"/>
      <c r="E943" s="3" t="n"/>
      <c r="F943" s="3" t="n"/>
      <c r="G943" s="3" t="n"/>
      <c r="H943" s="4" t="n"/>
      <c r="L943" s="2" t="n"/>
      <c r="N943" s="2" t="n"/>
    </row>
    <row r="944">
      <c r="D944" s="2" t="n"/>
      <c r="E944" s="3" t="n"/>
      <c r="F944" s="3" t="n"/>
      <c r="G944" s="3" t="n"/>
      <c r="H944" s="4" t="n"/>
      <c r="L944" s="2" t="n"/>
      <c r="N944" s="2" t="n"/>
    </row>
    <row r="945">
      <c r="D945" s="2" t="n"/>
      <c r="E945" s="3" t="n"/>
      <c r="F945" s="3" t="n"/>
      <c r="G945" s="3" t="n"/>
      <c r="H945" s="4" t="n"/>
      <c r="L945" s="2" t="n"/>
      <c r="N945" s="2" t="n"/>
    </row>
    <row r="946">
      <c r="D946" s="2" t="n"/>
      <c r="E946" s="3" t="n"/>
      <c r="F946" s="3" t="n"/>
      <c r="G946" s="3" t="n"/>
      <c r="H946" s="4" t="n"/>
      <c r="L946" s="2" t="n"/>
      <c r="N946" s="2" t="n"/>
    </row>
    <row r="947">
      <c r="D947" s="2" t="n"/>
      <c r="E947" s="3" t="n"/>
      <c r="F947" s="3" t="n"/>
      <c r="G947" s="3" t="n"/>
      <c r="H947" s="4" t="n"/>
      <c r="L947" s="2" t="n"/>
      <c r="N947" s="2" t="n"/>
    </row>
    <row r="948">
      <c r="D948" s="2" t="n"/>
      <c r="E948" s="3" t="n"/>
      <c r="F948" s="3" t="n"/>
      <c r="G948" s="3" t="n"/>
      <c r="H948" s="4" t="n"/>
      <c r="L948" s="2" t="n"/>
      <c r="N948" s="2" t="n"/>
    </row>
    <row r="949">
      <c r="D949" s="2" t="n"/>
      <c r="E949" s="3" t="n"/>
      <c r="F949" s="3" t="n"/>
      <c r="G949" s="3" t="n"/>
      <c r="H949" s="4" t="n"/>
      <c r="L949" s="2" t="n"/>
      <c r="N949" s="2" t="n"/>
    </row>
    <row r="950">
      <c r="D950" s="2" t="n"/>
      <c r="E950" s="3" t="n"/>
      <c r="F950" s="3" t="n"/>
      <c r="G950" s="3" t="n"/>
      <c r="H950" s="4" t="n"/>
      <c r="L950" s="2" t="n"/>
      <c r="N950" s="2" t="n"/>
    </row>
    <row r="951">
      <c r="D951" s="2" t="n"/>
      <c r="E951" s="3" t="n"/>
      <c r="F951" s="3" t="n"/>
      <c r="G951" s="3" t="n"/>
      <c r="H951" s="4" t="n"/>
      <c r="L951" s="2" t="n"/>
      <c r="N951" s="2" t="n"/>
    </row>
    <row r="952">
      <c r="D952" s="2" t="n"/>
      <c r="E952" s="3" t="n"/>
      <c r="F952" s="3" t="n"/>
      <c r="G952" s="3" t="n"/>
      <c r="H952" s="4" t="n"/>
      <c r="L952" s="2" t="n"/>
      <c r="N952" s="2" t="n"/>
    </row>
    <row r="953">
      <c r="D953" s="2" t="n"/>
      <c r="E953" s="3" t="n"/>
      <c r="F953" s="3" t="n"/>
      <c r="G953" s="3" t="n"/>
      <c r="H953" s="4" t="n"/>
      <c r="L953" s="2" t="n"/>
      <c r="N953" s="2" t="n"/>
    </row>
    <row r="954">
      <c r="D954" s="2" t="n"/>
      <c r="E954" s="3" t="n"/>
      <c r="F954" s="3" t="n"/>
      <c r="G954" s="3" t="n"/>
      <c r="H954" s="4" t="n"/>
      <c r="L954" s="2" t="n"/>
      <c r="N954" s="2" t="n"/>
    </row>
    <row r="955">
      <c r="D955" s="2" t="n"/>
      <c r="E955" s="3" t="n"/>
      <c r="F955" s="3" t="n"/>
      <c r="G955" s="3" t="n"/>
      <c r="H955" s="4" t="n"/>
      <c r="L955" s="2" t="n"/>
      <c r="N955" s="2" t="n"/>
    </row>
    <row r="956">
      <c r="D956" s="2" t="n"/>
      <c r="E956" s="3" t="n"/>
      <c r="F956" s="3" t="n"/>
      <c r="G956" s="3" t="n"/>
      <c r="H956" s="4" t="n"/>
      <c r="L956" s="2" t="n"/>
      <c r="N956" s="2" t="n"/>
    </row>
    <row r="957">
      <c r="D957" s="2" t="n"/>
      <c r="E957" s="3" t="n"/>
      <c r="F957" s="3" t="n"/>
      <c r="G957" s="3" t="n"/>
      <c r="H957" s="4" t="n"/>
      <c r="L957" s="2" t="n"/>
      <c r="N957" s="2" t="n"/>
    </row>
    <row r="958">
      <c r="D958" s="2" t="n"/>
      <c r="E958" s="3" t="n"/>
      <c r="F958" s="3" t="n"/>
      <c r="G958" s="3" t="n"/>
      <c r="H958" s="4" t="n"/>
      <c r="L958" s="2" t="n"/>
      <c r="N958" s="2" t="n"/>
    </row>
    <row r="959">
      <c r="D959" s="2" t="n"/>
      <c r="E959" s="3" t="n"/>
      <c r="F959" s="3" t="n"/>
      <c r="G959" s="3" t="n"/>
      <c r="H959" s="4" t="n"/>
      <c r="L959" s="2" t="n"/>
      <c r="N959" s="2" t="n"/>
    </row>
    <row r="960">
      <c r="D960" s="2" t="n"/>
      <c r="E960" s="3" t="n"/>
      <c r="F960" s="3" t="n"/>
      <c r="G960" s="3" t="n"/>
      <c r="H960" s="4" t="n"/>
      <c r="L960" s="2" t="n"/>
      <c r="N960" s="2" t="n"/>
    </row>
    <row r="961">
      <c r="D961" s="2" t="n"/>
      <c r="E961" s="3" t="n"/>
      <c r="F961" s="3" t="n"/>
      <c r="G961" s="3" t="n"/>
      <c r="H961" s="4" t="n"/>
      <c r="L961" s="2" t="n"/>
      <c r="N961" s="2" t="n"/>
    </row>
    <row r="962">
      <c r="D962" s="2" t="n"/>
      <c r="E962" s="3" t="n"/>
      <c r="F962" s="3" t="n"/>
      <c r="G962" s="3" t="n"/>
      <c r="H962" s="4" t="n"/>
      <c r="L962" s="2" t="n"/>
      <c r="N962" s="2" t="n"/>
    </row>
    <row r="963">
      <c r="D963" s="2" t="n"/>
      <c r="E963" s="3" t="n"/>
      <c r="F963" s="3" t="n"/>
      <c r="G963" s="3" t="n"/>
      <c r="H963" s="4" t="n"/>
      <c r="L963" s="2" t="n"/>
      <c r="N963" s="2" t="n"/>
    </row>
    <row r="964">
      <c r="D964" s="2" t="n"/>
      <c r="E964" s="3" t="n"/>
      <c r="F964" s="3" t="n"/>
      <c r="G964" s="3" t="n"/>
      <c r="H964" s="4" t="n"/>
      <c r="L964" s="2" t="n"/>
      <c r="N964" s="2" t="n"/>
    </row>
    <row r="965">
      <c r="D965" s="2" t="n"/>
      <c r="E965" s="3" t="n"/>
      <c r="F965" s="3" t="n"/>
      <c r="G965" s="3" t="n"/>
      <c r="H965" s="4" t="n"/>
      <c r="L965" s="2" t="n"/>
      <c r="N965" s="2" t="n"/>
    </row>
    <row r="966">
      <c r="D966" s="2" t="n"/>
      <c r="E966" s="3" t="n"/>
      <c r="F966" s="3" t="n"/>
      <c r="G966" s="3" t="n"/>
      <c r="H966" s="4" t="n"/>
      <c r="L966" s="2" t="n"/>
      <c r="N966" s="2" t="n"/>
    </row>
    <row r="967">
      <c r="D967" s="2" t="n"/>
      <c r="E967" s="3" t="n"/>
      <c r="F967" s="3" t="n"/>
      <c r="G967" s="3" t="n"/>
      <c r="H967" s="4" t="n"/>
      <c r="L967" s="2" t="n"/>
      <c r="N967" s="2" t="n"/>
    </row>
    <row r="968">
      <c r="D968" s="2" t="n"/>
      <c r="E968" s="3" t="n"/>
      <c r="F968" s="3" t="n"/>
      <c r="G968" s="3" t="n"/>
      <c r="H968" s="4" t="n"/>
      <c r="L968" s="2" t="n"/>
      <c r="N968" s="2" t="n"/>
    </row>
    <row r="969">
      <c r="D969" s="2" t="n"/>
      <c r="E969" s="3" t="n"/>
      <c r="F969" s="3" t="n"/>
      <c r="G969" s="3" t="n"/>
      <c r="H969" s="4" t="n"/>
      <c r="L969" s="2" t="n"/>
      <c r="N969" s="2" t="n"/>
    </row>
    <row r="970">
      <c r="D970" s="2" t="n"/>
      <c r="E970" s="3" t="n"/>
      <c r="F970" s="3" t="n"/>
      <c r="G970" s="3" t="n"/>
      <c r="H970" s="4" t="n"/>
      <c r="L970" s="2" t="n"/>
      <c r="N970" s="2" t="n"/>
    </row>
    <row r="971">
      <c r="D971" s="2" t="n"/>
      <c r="E971" s="3" t="n"/>
      <c r="F971" s="3" t="n"/>
      <c r="G971" s="3" t="n"/>
      <c r="H971" s="4" t="n"/>
      <c r="L971" s="2" t="n"/>
      <c r="N971" s="2" t="n"/>
    </row>
    <row r="972">
      <c r="D972" s="2" t="n"/>
      <c r="E972" s="3" t="n"/>
      <c r="F972" s="3" t="n"/>
      <c r="G972" s="3" t="n"/>
      <c r="H972" s="4" t="n"/>
      <c r="L972" s="2" t="n"/>
      <c r="N972" s="2" t="n"/>
    </row>
    <row r="973">
      <c r="D973" s="2" t="n"/>
      <c r="E973" s="3" t="n"/>
      <c r="F973" s="3" t="n"/>
      <c r="G973" s="3" t="n"/>
      <c r="H973" s="4" t="n"/>
      <c r="L973" s="2" t="n"/>
      <c r="N973" s="2" t="n"/>
    </row>
    <row r="974">
      <c r="D974" s="2" t="n"/>
      <c r="E974" s="3" t="n"/>
      <c r="F974" s="3" t="n"/>
      <c r="G974" s="3" t="n"/>
      <c r="H974" s="4" t="n"/>
      <c r="L974" s="2" t="n"/>
      <c r="N974" s="2" t="n"/>
    </row>
    <row r="975">
      <c r="D975" s="2" t="n"/>
      <c r="E975" s="3" t="n"/>
      <c r="F975" s="3" t="n"/>
      <c r="G975" s="3" t="n"/>
      <c r="H975" s="4" t="n"/>
      <c r="L975" s="2" t="n"/>
      <c r="N975" s="2" t="n"/>
    </row>
    <row r="976">
      <c r="D976" s="2" t="n"/>
      <c r="E976" s="3" t="n"/>
      <c r="F976" s="3" t="n"/>
      <c r="G976" s="3" t="n"/>
      <c r="H976" s="4" t="n"/>
      <c r="L976" s="2" t="n"/>
      <c r="N976" s="2" t="n"/>
    </row>
    <row r="977">
      <c r="D977" s="2" t="n"/>
      <c r="E977" s="3" t="n"/>
      <c r="F977" s="3" t="n"/>
      <c r="G977" s="3" t="n"/>
      <c r="H977" s="4" t="n"/>
      <c r="L977" s="2" t="n"/>
      <c r="N977" s="2" t="n"/>
    </row>
    <row r="978">
      <c r="D978" s="2" t="n"/>
      <c r="E978" s="3" t="n"/>
      <c r="F978" s="3" t="n"/>
      <c r="G978" s="3" t="n"/>
      <c r="H978" s="4" t="n"/>
      <c r="L978" s="2" t="n"/>
      <c r="N978" s="2" t="n"/>
    </row>
    <row r="979">
      <c r="D979" s="2" t="n"/>
      <c r="E979" s="3" t="n"/>
      <c r="F979" s="3" t="n"/>
      <c r="G979" s="3" t="n"/>
      <c r="H979" s="4" t="n"/>
      <c r="L979" s="2" t="n"/>
      <c r="N979" s="2" t="n"/>
    </row>
    <row r="980">
      <c r="D980" s="2" t="n"/>
      <c r="E980" s="3" t="n"/>
      <c r="F980" s="3" t="n"/>
      <c r="G980" s="3" t="n"/>
      <c r="H980" s="4" t="n"/>
      <c r="L980" s="2" t="n"/>
      <c r="N980" s="2" t="n"/>
    </row>
    <row r="981">
      <c r="D981" s="2" t="n"/>
      <c r="E981" s="3" t="n"/>
      <c r="F981" s="3" t="n"/>
      <c r="G981" s="3" t="n"/>
      <c r="H981" s="4" t="n"/>
      <c r="L981" s="2" t="n"/>
      <c r="N981" s="2" t="n"/>
    </row>
    <row r="982">
      <c r="D982" s="2" t="n"/>
      <c r="E982" s="3" t="n"/>
      <c r="F982" s="3" t="n"/>
      <c r="G982" s="3" t="n"/>
      <c r="H982" s="4" t="n"/>
      <c r="L982" s="2" t="n"/>
      <c r="N982" s="2" t="n"/>
    </row>
    <row r="983">
      <c r="D983" s="2" t="n"/>
      <c r="E983" s="3" t="n"/>
      <c r="F983" s="3" t="n"/>
      <c r="G983" s="3" t="n"/>
      <c r="H983" s="4" t="n"/>
      <c r="L983" s="2" t="n"/>
      <c r="N983" s="2" t="n"/>
    </row>
    <row r="984">
      <c r="D984" s="2" t="n"/>
      <c r="E984" s="3" t="n"/>
      <c r="F984" s="3" t="n"/>
      <c r="G984" s="3" t="n"/>
      <c r="H984" s="4" t="n"/>
      <c r="L984" s="2" t="n"/>
      <c r="N984" s="2" t="n"/>
    </row>
    <row r="985">
      <c r="D985" s="2" t="n"/>
      <c r="E985" s="3" t="n"/>
      <c r="F985" s="3" t="n"/>
      <c r="G985" s="3" t="n"/>
      <c r="H985" s="4" t="n"/>
      <c r="L985" s="2" t="n"/>
      <c r="N985" s="2" t="n"/>
    </row>
    <row r="986">
      <c r="D986" s="2" t="n"/>
      <c r="E986" s="3" t="n"/>
      <c r="F986" s="3" t="n"/>
      <c r="G986" s="3" t="n"/>
      <c r="H986" s="4" t="n"/>
      <c r="L986" s="2" t="n"/>
      <c r="N986" s="2" t="n"/>
    </row>
    <row r="987">
      <c r="D987" s="2" t="n"/>
      <c r="E987" s="3" t="n"/>
      <c r="F987" s="3" t="n"/>
      <c r="G987" s="3" t="n"/>
      <c r="H987" s="4" t="n"/>
      <c r="L987" s="2" t="n"/>
      <c r="N987" s="2" t="n"/>
    </row>
    <row r="988">
      <c r="D988" s="2" t="n"/>
      <c r="E988" s="3" t="n"/>
      <c r="F988" s="3" t="n"/>
      <c r="G988" s="3" t="n"/>
      <c r="H988" s="4" t="n"/>
      <c r="L988" s="2" t="n"/>
      <c r="N988" s="2" t="n"/>
    </row>
    <row r="989">
      <c r="D989" s="2" t="n"/>
      <c r="E989" s="3" t="n"/>
      <c r="F989" s="3" t="n"/>
      <c r="G989" s="3" t="n"/>
      <c r="H989" s="4" t="n"/>
      <c r="L989" s="2" t="n"/>
      <c r="N989" s="2" t="n"/>
    </row>
    <row r="990">
      <c r="D990" s="2" t="n"/>
      <c r="E990" s="3" t="n"/>
      <c r="F990" s="3" t="n"/>
      <c r="G990" s="3" t="n"/>
      <c r="H990" s="4" t="n"/>
      <c r="L990" s="2" t="n"/>
      <c r="N990" s="2" t="n"/>
    </row>
    <row r="991">
      <c r="D991" s="2" t="n"/>
      <c r="E991" s="3" t="n"/>
      <c r="F991" s="3" t="n"/>
      <c r="G991" s="3" t="n"/>
      <c r="H991" s="4" t="n"/>
      <c r="L991" s="2" t="n"/>
      <c r="N991" s="2" t="n"/>
    </row>
    <row r="992">
      <c r="D992" s="2" t="n"/>
      <c r="E992" s="3" t="n"/>
      <c r="F992" s="3" t="n"/>
      <c r="G992" s="3" t="n"/>
      <c r="H992" s="4" t="n"/>
      <c r="L992" s="2" t="n"/>
      <c r="N992" s="2" t="n"/>
    </row>
    <row r="993">
      <c r="D993" s="2" t="n"/>
      <c r="E993" s="3" t="n"/>
      <c r="F993" s="3" t="n"/>
      <c r="G993" s="3" t="n"/>
      <c r="H993" s="4" t="n"/>
      <c r="L993" s="2" t="n"/>
      <c r="N993" s="2" t="n"/>
    </row>
    <row r="994">
      <c r="D994" s="2" t="n"/>
      <c r="E994" s="3" t="n"/>
      <c r="F994" s="3" t="n"/>
      <c r="G994" s="3" t="n"/>
      <c r="H994" s="4" t="n"/>
      <c r="L994" s="2" t="n"/>
      <c r="N994" s="2" t="n"/>
    </row>
    <row r="995">
      <c r="D995" s="2" t="n"/>
      <c r="E995" s="3" t="n"/>
      <c r="F995" s="3" t="n"/>
      <c r="G995" s="3" t="n"/>
      <c r="H995" s="4" t="n"/>
      <c r="L995" s="2" t="n"/>
      <c r="N995" s="2" t="n"/>
    </row>
    <row r="996">
      <c r="D996" s="2" t="n"/>
      <c r="E996" s="3" t="n"/>
      <c r="F996" s="3" t="n"/>
      <c r="G996" s="3" t="n"/>
      <c r="H996" s="4" t="n"/>
      <c r="L996" s="2" t="n"/>
      <c r="N996" s="2" t="n"/>
    </row>
    <row r="997">
      <c r="D997" s="2" t="n"/>
      <c r="E997" s="3" t="n"/>
      <c r="F997" s="3" t="n"/>
      <c r="G997" s="3" t="n"/>
      <c r="H997" s="4" t="n"/>
      <c r="L997" s="2" t="n"/>
      <c r="N997" s="2" t="n"/>
    </row>
    <row r="998">
      <c r="D998" s="2" t="n"/>
      <c r="E998" s="3" t="n"/>
      <c r="F998" s="3" t="n"/>
      <c r="G998" s="3" t="n"/>
      <c r="H998" s="4" t="n"/>
      <c r="L998" s="2" t="n"/>
      <c r="N998" s="2" t="n"/>
    </row>
    <row r="999">
      <c r="D999" s="2" t="n"/>
      <c r="E999" s="3" t="n"/>
      <c r="F999" s="3" t="n"/>
      <c r="G999" s="3" t="n"/>
      <c r="H999" s="4" t="n"/>
      <c r="L999" s="2" t="n"/>
      <c r="N999" s="2" t="n"/>
    </row>
    <row r="1000">
      <c r="D1000" s="2" t="n"/>
      <c r="E1000" s="3" t="n"/>
      <c r="F1000" s="3" t="n"/>
      <c r="G1000" s="3" t="n"/>
      <c r="H1000" s="4" t="n"/>
      <c r="L1000" s="2" t="n"/>
      <c r="N1000" s="2" t="n"/>
    </row>
    <row r="1001">
      <c r="D1001" s="2" t="n"/>
      <c r="E1001" s="3" t="n"/>
      <c r="F1001" s="3" t="n"/>
      <c r="G1001" s="3" t="n"/>
      <c r="H1001" s="4" t="n"/>
      <c r="L1001" s="2" t="n"/>
      <c r="N1001" s="2" t="n"/>
    </row>
    <row r="1002">
      <c r="D1002" s="2" t="n"/>
      <c r="E1002" s="3" t="n"/>
      <c r="F1002" s="3" t="n"/>
      <c r="G1002" s="3" t="n"/>
      <c r="H1002" s="4" t="n"/>
      <c r="L1002" s="2" t="n"/>
      <c r="N1002" s="2" t="n"/>
    </row>
    <row r="1003">
      <c r="D1003" s="2" t="n"/>
      <c r="E1003" s="3" t="n"/>
      <c r="F1003" s="3" t="n"/>
      <c r="G1003" s="3" t="n"/>
      <c r="H1003" s="4" t="n"/>
      <c r="L1003" s="2" t="n"/>
      <c r="N1003" s="2" t="n"/>
    </row>
    <row r="1004">
      <c r="D1004" s="2" t="n"/>
      <c r="E1004" s="3" t="n"/>
      <c r="F1004" s="3" t="n"/>
      <c r="G1004" s="3" t="n"/>
      <c r="H1004" s="4" t="n"/>
      <c r="L1004" s="2" t="n"/>
      <c r="N1004" s="2" t="n"/>
    </row>
    <row r="1005">
      <c r="D1005" s="2" t="n"/>
      <c r="E1005" s="3" t="n"/>
      <c r="F1005" s="3" t="n"/>
      <c r="G1005" s="3" t="n"/>
      <c r="H1005" s="4" t="n"/>
      <c r="L1005" s="2" t="n"/>
      <c r="N1005" s="2" t="n"/>
    </row>
    <row r="1006">
      <c r="D1006" s="2" t="n"/>
      <c r="E1006" s="3" t="n"/>
      <c r="F1006" s="3" t="n"/>
      <c r="G1006" s="3" t="n"/>
      <c r="H1006" s="4" t="n"/>
      <c r="L1006" s="2" t="n"/>
      <c r="N1006" s="2" t="n"/>
    </row>
    <row r="1007">
      <c r="D1007" s="2" t="n"/>
      <c r="E1007" s="3" t="n"/>
      <c r="F1007" s="3" t="n"/>
      <c r="G1007" s="3" t="n"/>
      <c r="H1007" s="4" t="n"/>
      <c r="L1007" s="2" t="n"/>
      <c r="N1007" s="2" t="n"/>
    </row>
    <row r="1008">
      <c r="D1008" s="2" t="n"/>
      <c r="E1008" s="3" t="n"/>
      <c r="F1008" s="3" t="n"/>
      <c r="G1008" s="3" t="n"/>
      <c r="H1008" s="4" t="n"/>
      <c r="L1008" s="2" t="n"/>
      <c r="N1008" s="2" t="n"/>
    </row>
    <row r="1009">
      <c r="D1009" s="2" t="n"/>
      <c r="E1009" s="3" t="n"/>
      <c r="F1009" s="3" t="n"/>
      <c r="G1009" s="3" t="n"/>
      <c r="H1009" s="4" t="n"/>
      <c r="L1009" s="2" t="n"/>
      <c r="N1009" s="2" t="n"/>
    </row>
    <row r="1010">
      <c r="D1010" s="2" t="n"/>
      <c r="E1010" s="3" t="n"/>
      <c r="F1010" s="3" t="n"/>
      <c r="G1010" s="3" t="n"/>
      <c r="H1010" s="4" t="n"/>
      <c r="L1010" s="2" t="n"/>
      <c r="N1010" s="2" t="n"/>
    </row>
    <row r="1011">
      <c r="D1011" s="2" t="n"/>
      <c r="E1011" s="3" t="n"/>
      <c r="F1011" s="3" t="n"/>
      <c r="G1011" s="3" t="n"/>
      <c r="H1011" s="4" t="n"/>
      <c r="L1011" s="2" t="n"/>
      <c r="N1011" s="2" t="n"/>
    </row>
    <row r="1012">
      <c r="D1012" s="2" t="n"/>
      <c r="E1012" s="3" t="n"/>
      <c r="F1012" s="3" t="n"/>
      <c r="G1012" s="3" t="n"/>
      <c r="H1012" s="4" t="n"/>
      <c r="L1012" s="2" t="n"/>
      <c r="N1012" s="2" t="n"/>
    </row>
    <row r="1013">
      <c r="D1013" s="2" t="n"/>
      <c r="E1013" s="3" t="n"/>
      <c r="F1013" s="3" t="n"/>
      <c r="G1013" s="3" t="n"/>
      <c r="H1013" s="4" t="n"/>
      <c r="L1013" s="2" t="n"/>
      <c r="N1013" s="2" t="n"/>
    </row>
    <row r="1014">
      <c r="D1014" s="2" t="n"/>
      <c r="E1014" s="3" t="n"/>
      <c r="F1014" s="3" t="n"/>
      <c r="G1014" s="3" t="n"/>
      <c r="H1014" s="4" t="n"/>
      <c r="L1014" s="2" t="n"/>
      <c r="N1014" s="2" t="n"/>
    </row>
    <row r="1015">
      <c r="D1015" s="2" t="n"/>
      <c r="E1015" s="3" t="n"/>
      <c r="F1015" s="3" t="n"/>
      <c r="G1015" s="3" t="n"/>
      <c r="H1015" s="4" t="n"/>
      <c r="L1015" s="2" t="n"/>
      <c r="N1015" s="2" t="n"/>
    </row>
    <row r="1016">
      <c r="D1016" s="2" t="n"/>
      <c r="E1016" s="3" t="n"/>
      <c r="F1016" s="3" t="n"/>
      <c r="G1016" s="3" t="n"/>
      <c r="H1016" s="4" t="n"/>
      <c r="L1016" s="2" t="n"/>
      <c r="N1016" s="2" t="n"/>
    </row>
    <row r="1017">
      <c r="D1017" s="2" t="n"/>
      <c r="E1017" s="3" t="n"/>
      <c r="F1017" s="3" t="n"/>
      <c r="G1017" s="3" t="n"/>
      <c r="H1017" s="4" t="n"/>
      <c r="L1017" s="2" t="n"/>
      <c r="N1017" s="2" t="n"/>
    </row>
    <row r="1018">
      <c r="D1018" s="2" t="n"/>
      <c r="E1018" s="3" t="n"/>
      <c r="F1018" s="3" t="n"/>
      <c r="G1018" s="3" t="n"/>
      <c r="H1018" s="4" t="n"/>
      <c r="L1018" s="2" t="n"/>
      <c r="N1018" s="2" t="n"/>
    </row>
    <row r="1019">
      <c r="D1019" s="2" t="n"/>
      <c r="E1019" s="3" t="n"/>
      <c r="F1019" s="3" t="n"/>
      <c r="G1019" s="3" t="n"/>
      <c r="H1019" s="4" t="n"/>
      <c r="L1019" s="2" t="n"/>
      <c r="N1019" s="2" t="n"/>
    </row>
    <row r="1020">
      <c r="D1020" s="2" t="n"/>
      <c r="E1020" s="3" t="n"/>
      <c r="F1020" s="3" t="n"/>
      <c r="G1020" s="3" t="n"/>
      <c r="H1020" s="4" t="n"/>
      <c r="L1020" s="2" t="n"/>
      <c r="N1020" s="2" t="n"/>
    </row>
    <row r="1021">
      <c r="D1021" s="2" t="n"/>
      <c r="E1021" s="3" t="n"/>
      <c r="F1021" s="3" t="n"/>
      <c r="G1021" s="3" t="n"/>
      <c r="H1021" s="4" t="n"/>
      <c r="L1021" s="2" t="n"/>
      <c r="N1021" s="2" t="n"/>
    </row>
    <row r="1022">
      <c r="D1022" s="2" t="n"/>
      <c r="E1022" s="3" t="n"/>
      <c r="F1022" s="3" t="n"/>
      <c r="G1022" s="3" t="n"/>
      <c r="H1022" s="4" t="n"/>
      <c r="L1022" s="2" t="n"/>
      <c r="N1022" s="2" t="n"/>
    </row>
    <row r="1023">
      <c r="D1023" s="2" t="n"/>
      <c r="E1023" s="3" t="n"/>
      <c r="F1023" s="3" t="n"/>
      <c r="G1023" s="3" t="n"/>
      <c r="H1023" s="4" t="n"/>
      <c r="L1023" s="2" t="n"/>
      <c r="N1023" s="2" t="n"/>
    </row>
    <row r="1024">
      <c r="D1024" s="2" t="n"/>
      <c r="E1024" s="3" t="n"/>
      <c r="F1024" s="3" t="n"/>
      <c r="G1024" s="3" t="n"/>
      <c r="H1024" s="4" t="n"/>
      <c r="L1024" s="2" t="n"/>
      <c r="N1024" s="2" t="n"/>
    </row>
    <row r="1025">
      <c r="D1025" s="2" t="n"/>
      <c r="E1025" s="3" t="n"/>
      <c r="F1025" s="3" t="n"/>
      <c r="G1025" s="3" t="n"/>
      <c r="H1025" s="4" t="n"/>
      <c r="L1025" s="2" t="n"/>
      <c r="N1025" s="2" t="n"/>
    </row>
    <row r="1026">
      <c r="D1026" s="2" t="n"/>
      <c r="E1026" s="3" t="n"/>
      <c r="F1026" s="3" t="n"/>
      <c r="G1026" s="3" t="n"/>
      <c r="H1026" s="4" t="n"/>
      <c r="L1026" s="2" t="n"/>
      <c r="N1026" s="2" t="n"/>
    </row>
    <row r="1027">
      <c r="D1027" s="2" t="n"/>
      <c r="E1027" s="3" t="n"/>
      <c r="F1027" s="3" t="n"/>
      <c r="G1027" s="3" t="n"/>
      <c r="H1027" s="4" t="n"/>
      <c r="L1027" s="2" t="n"/>
      <c r="N1027" s="2" t="n"/>
    </row>
    <row r="1028">
      <c r="D1028" s="2" t="n"/>
      <c r="E1028" s="3" t="n"/>
      <c r="F1028" s="3" t="n"/>
      <c r="G1028" s="3" t="n"/>
      <c r="H1028" s="4" t="n"/>
      <c r="L1028" s="2" t="n"/>
      <c r="N1028" s="2" t="n"/>
    </row>
    <row r="1029">
      <c r="D1029" s="2" t="n"/>
      <c r="E1029" s="3" t="n"/>
      <c r="F1029" s="3" t="n"/>
      <c r="G1029" s="3" t="n"/>
      <c r="H1029" s="4" t="n"/>
      <c r="L1029" s="2" t="n"/>
      <c r="N1029" s="2" t="n"/>
    </row>
    <row r="1030">
      <c r="D1030" s="2" t="n"/>
      <c r="E1030" s="3" t="n"/>
      <c r="F1030" s="3" t="n"/>
      <c r="G1030" s="3" t="n"/>
      <c r="H1030" s="4" t="n"/>
      <c r="L1030" s="2" t="n"/>
      <c r="N1030" s="2" t="n"/>
    </row>
    <row r="1031">
      <c r="D1031" s="2" t="n"/>
      <c r="E1031" s="3" t="n"/>
      <c r="F1031" s="3" t="n"/>
      <c r="G1031" s="3" t="n"/>
      <c r="H1031" s="4" t="n"/>
      <c r="L1031" s="2" t="n"/>
      <c r="N1031" s="2" t="n"/>
    </row>
    <row r="1032">
      <c r="D1032" s="2" t="n"/>
      <c r="E1032" s="3" t="n"/>
      <c r="F1032" s="3" t="n"/>
      <c r="G1032" s="3" t="n"/>
      <c r="H1032" s="4" t="n"/>
      <c r="L1032" s="2" t="n"/>
      <c r="N1032" s="2" t="n"/>
    </row>
    <row r="1033">
      <c r="D1033" s="2" t="n"/>
      <c r="E1033" s="3" t="n"/>
      <c r="F1033" s="3" t="n"/>
      <c r="G1033" s="3" t="n"/>
      <c r="H1033" s="4" t="n"/>
      <c r="L1033" s="2" t="n"/>
      <c r="N1033" s="2" t="n"/>
    </row>
    <row r="1034">
      <c r="D1034" s="2" t="n"/>
      <c r="E1034" s="3" t="n"/>
      <c r="F1034" s="3" t="n"/>
      <c r="G1034" s="3" t="n"/>
      <c r="H1034" s="4" t="n"/>
      <c r="L1034" s="2" t="n"/>
      <c r="N1034" s="2" t="n"/>
    </row>
    <row r="1035">
      <c r="D1035" s="2" t="n"/>
      <c r="E1035" s="3" t="n"/>
      <c r="F1035" s="3" t="n"/>
      <c r="G1035" s="3" t="n"/>
      <c r="H1035" s="4" t="n"/>
      <c r="L1035" s="2" t="n"/>
      <c r="N1035" s="2" t="n"/>
    </row>
    <row r="1036">
      <c r="D1036" s="2" t="n"/>
      <c r="E1036" s="3" t="n"/>
      <c r="F1036" s="3" t="n"/>
      <c r="G1036" s="3" t="n"/>
      <c r="H1036" s="4" t="n"/>
      <c r="L1036" s="2" t="n"/>
      <c r="N1036" s="2" t="n"/>
    </row>
    <row r="1037">
      <c r="D1037" s="2" t="n"/>
      <c r="E1037" s="3" t="n"/>
      <c r="F1037" s="3" t="n"/>
      <c r="G1037" s="3" t="n"/>
      <c r="H1037" s="4" t="n"/>
      <c r="L1037" s="2" t="n"/>
      <c r="N1037" s="2" t="n"/>
    </row>
    <row r="1038">
      <c r="D1038" s="2" t="n"/>
      <c r="E1038" s="3" t="n"/>
      <c r="F1038" s="3" t="n"/>
      <c r="G1038" s="3" t="n"/>
      <c r="H1038" s="4" t="n"/>
      <c r="L1038" s="2" t="n"/>
      <c r="N1038" s="2" t="n"/>
    </row>
    <row r="1039">
      <c r="D1039" s="2" t="n"/>
      <c r="E1039" s="3" t="n"/>
      <c r="F1039" s="3" t="n"/>
      <c r="G1039" s="3" t="n"/>
      <c r="H1039" s="4" t="n"/>
      <c r="L1039" s="2" t="n"/>
      <c r="N1039" s="2" t="n"/>
    </row>
    <row r="1040">
      <c r="D1040" s="2" t="n"/>
      <c r="E1040" s="3" t="n"/>
      <c r="F1040" s="3" t="n"/>
      <c r="G1040" s="3" t="n"/>
      <c r="H1040" s="4" t="n"/>
      <c r="L1040" s="2" t="n"/>
      <c r="N1040" s="2" t="n"/>
    </row>
    <row r="1041">
      <c r="D1041" s="2" t="n"/>
      <c r="E1041" s="3" t="n"/>
      <c r="F1041" s="3" t="n"/>
      <c r="G1041" s="3" t="n"/>
      <c r="H1041" s="4" t="n"/>
      <c r="L1041" s="2" t="n"/>
      <c r="N1041" s="2" t="n"/>
    </row>
    <row r="1042">
      <c r="D1042" s="2" t="n"/>
      <c r="E1042" s="3" t="n"/>
      <c r="F1042" s="3" t="n"/>
      <c r="G1042" s="3" t="n"/>
      <c r="H1042" s="4" t="n"/>
      <c r="L1042" s="2" t="n"/>
      <c r="N1042" s="2" t="n"/>
    </row>
    <row r="1043">
      <c r="D1043" s="2" t="n"/>
      <c r="E1043" s="3" t="n"/>
      <c r="F1043" s="3" t="n"/>
      <c r="G1043" s="3" t="n"/>
      <c r="H1043" s="4" t="n"/>
      <c r="L1043" s="2" t="n"/>
      <c r="N1043" s="2" t="n"/>
    </row>
    <row r="1044">
      <c r="D1044" s="2" t="n"/>
      <c r="E1044" s="3" t="n"/>
      <c r="F1044" s="3" t="n"/>
      <c r="G1044" s="3" t="n"/>
      <c r="H1044" s="4" t="n"/>
      <c r="L1044" s="2" t="n"/>
      <c r="N1044" s="2" t="n"/>
    </row>
    <row r="1045">
      <c r="D1045" s="2" t="n"/>
      <c r="E1045" s="3" t="n"/>
      <c r="F1045" s="3" t="n"/>
      <c r="G1045" s="3" t="n"/>
      <c r="H1045" s="4" t="n"/>
      <c r="L1045" s="2" t="n"/>
      <c r="N1045" s="2" t="n"/>
    </row>
    <row r="1046">
      <c r="D1046" s="2" t="n"/>
      <c r="E1046" s="3" t="n"/>
      <c r="F1046" s="3" t="n"/>
      <c r="G1046" s="3" t="n"/>
      <c r="H1046" s="4" t="n"/>
      <c r="L1046" s="2" t="n"/>
      <c r="N1046" s="2" t="n"/>
    </row>
    <row r="1047">
      <c r="D1047" s="2" t="n"/>
      <c r="E1047" s="3" t="n"/>
      <c r="F1047" s="3" t="n"/>
      <c r="G1047" s="3" t="n"/>
      <c r="H1047" s="4" t="n"/>
      <c r="L1047" s="2" t="n"/>
      <c r="N1047" s="2" t="n"/>
    </row>
    <row r="1048">
      <c r="D1048" s="2" t="n"/>
      <c r="E1048" s="3" t="n"/>
      <c r="F1048" s="3" t="n"/>
      <c r="G1048" s="3" t="n"/>
      <c r="H1048" s="4" t="n"/>
      <c r="L1048" s="2" t="n"/>
      <c r="N1048" s="2" t="n"/>
    </row>
    <row r="1049">
      <c r="D1049" s="2" t="n"/>
      <c r="E1049" s="3" t="n"/>
      <c r="F1049" s="3" t="n"/>
      <c r="G1049" s="3" t="n"/>
      <c r="H1049" s="4" t="n"/>
      <c r="L1049" s="2" t="n"/>
      <c r="N1049" s="2" t="n"/>
    </row>
    <row r="1050">
      <c r="D1050" s="2" t="n"/>
      <c r="E1050" s="3" t="n"/>
      <c r="F1050" s="3" t="n"/>
      <c r="G1050" s="3" t="n"/>
      <c r="H1050" s="4" t="n"/>
      <c r="L1050" s="2" t="n"/>
      <c r="N1050" s="2" t="n"/>
    </row>
    <row r="1051">
      <c r="D1051" s="2" t="n"/>
      <c r="E1051" s="3" t="n"/>
      <c r="F1051" s="3" t="n"/>
      <c r="G1051" s="3" t="n"/>
      <c r="H1051" s="4" t="n"/>
      <c r="L1051" s="2" t="n"/>
      <c r="N1051" s="2" t="n"/>
    </row>
    <row r="1052">
      <c r="D1052" s="2" t="n"/>
      <c r="E1052" s="3" t="n"/>
      <c r="F1052" s="3" t="n"/>
      <c r="G1052" s="3" t="n"/>
      <c r="H1052" s="4" t="n"/>
      <c r="L1052" s="2" t="n"/>
      <c r="N1052" s="2" t="n"/>
    </row>
    <row r="1053">
      <c r="D1053" s="2" t="n"/>
      <c r="E1053" s="3" t="n"/>
      <c r="F1053" s="3" t="n"/>
      <c r="G1053" s="3" t="n"/>
      <c r="H1053" s="4" t="n"/>
      <c r="L1053" s="2" t="n"/>
      <c r="N1053" s="2" t="n"/>
    </row>
    <row r="1054">
      <c r="D1054" s="2" t="n"/>
      <c r="E1054" s="3" t="n"/>
      <c r="F1054" s="3" t="n"/>
      <c r="G1054" s="3" t="n"/>
      <c r="H1054" s="4" t="n"/>
      <c r="L1054" s="2" t="n"/>
      <c r="N1054" s="2" t="n"/>
    </row>
    <row r="1055">
      <c r="D1055" s="2" t="n"/>
      <c r="E1055" s="3" t="n"/>
      <c r="F1055" s="3" t="n"/>
      <c r="G1055" s="3" t="n"/>
      <c r="H1055" s="4" t="n"/>
      <c r="L1055" s="2" t="n"/>
      <c r="N1055" s="2" t="n"/>
    </row>
    <row r="1056">
      <c r="D1056" s="2" t="n"/>
      <c r="E1056" s="3" t="n"/>
      <c r="F1056" s="3" t="n"/>
      <c r="G1056" s="3" t="n"/>
      <c r="H1056" s="4" t="n"/>
      <c r="L1056" s="2" t="n"/>
      <c r="N1056" s="2" t="n"/>
    </row>
    <row r="1057">
      <c r="D1057" s="2" t="n"/>
      <c r="E1057" s="3" t="n"/>
      <c r="F1057" s="3" t="n"/>
      <c r="G1057" s="3" t="n"/>
      <c r="H1057" s="4" t="n"/>
      <c r="L1057" s="2" t="n"/>
      <c r="N1057" s="2" t="n"/>
    </row>
    <row r="1058">
      <c r="D1058" s="2" t="n"/>
      <c r="E1058" s="3" t="n"/>
      <c r="F1058" s="3" t="n"/>
      <c r="G1058" s="3" t="n"/>
      <c r="H1058" s="4" t="n"/>
      <c r="L1058" s="2" t="n"/>
      <c r="N1058" s="2" t="n"/>
    </row>
    <row r="1059">
      <c r="D1059" s="2" t="n"/>
      <c r="E1059" s="3" t="n"/>
      <c r="F1059" s="3" t="n"/>
      <c r="G1059" s="3" t="n"/>
      <c r="H1059" s="4" t="n"/>
      <c r="L1059" s="2" t="n"/>
      <c r="N1059" s="2" t="n"/>
    </row>
    <row r="1060">
      <c r="D1060" s="2" t="n"/>
      <c r="E1060" s="3" t="n"/>
      <c r="F1060" s="3" t="n"/>
      <c r="G1060" s="3" t="n"/>
      <c r="H1060" s="4" t="n"/>
      <c r="L1060" s="2" t="n"/>
      <c r="N1060" s="2" t="n"/>
    </row>
    <row r="1061">
      <c r="D1061" s="2" t="n"/>
      <c r="E1061" s="3" t="n"/>
      <c r="F1061" s="3" t="n"/>
      <c r="G1061" s="3" t="n"/>
      <c r="H1061" s="4" t="n"/>
      <c r="L1061" s="2" t="n"/>
      <c r="N1061" s="2" t="n"/>
    </row>
    <row r="1062">
      <c r="D1062" s="2" t="n"/>
      <c r="E1062" s="3" t="n"/>
      <c r="F1062" s="3" t="n"/>
      <c r="G1062" s="3" t="n"/>
      <c r="H1062" s="4" t="n"/>
      <c r="L1062" s="2" t="n"/>
      <c r="N1062" s="2" t="n"/>
    </row>
    <row r="1063">
      <c r="D1063" s="2" t="n"/>
      <c r="E1063" s="3" t="n"/>
      <c r="F1063" s="3" t="n"/>
      <c r="G1063" s="3" t="n"/>
      <c r="H1063" s="4" t="n"/>
      <c r="L1063" s="2" t="n"/>
      <c r="N1063" s="2" t="n"/>
    </row>
    <row r="1064">
      <c r="D1064" s="2" t="n"/>
      <c r="E1064" s="3" t="n"/>
      <c r="F1064" s="3" t="n"/>
      <c r="G1064" s="3" t="n"/>
      <c r="H1064" s="4" t="n"/>
      <c r="L1064" s="2" t="n"/>
      <c r="N1064" s="2" t="n"/>
    </row>
    <row r="1065">
      <c r="D1065" s="2" t="n"/>
      <c r="E1065" s="3" t="n"/>
      <c r="F1065" s="3" t="n"/>
      <c r="G1065" s="3" t="n"/>
      <c r="H1065" s="4" t="n"/>
      <c r="L1065" s="2" t="n"/>
      <c r="N1065" s="2" t="n"/>
    </row>
    <row r="1066">
      <c r="D1066" s="2" t="n"/>
      <c r="E1066" s="3" t="n"/>
      <c r="F1066" s="3" t="n"/>
      <c r="G1066" s="3" t="n"/>
      <c r="H1066" s="4" t="n"/>
      <c r="L1066" s="2" t="n"/>
      <c r="N1066" s="2" t="n"/>
    </row>
    <row r="1067">
      <c r="D1067" s="2" t="n"/>
      <c r="E1067" s="3" t="n"/>
      <c r="F1067" s="3" t="n"/>
      <c r="G1067" s="3" t="n"/>
      <c r="H1067" s="4" t="n"/>
      <c r="L1067" s="2" t="n"/>
      <c r="N1067" s="2" t="n"/>
    </row>
    <row r="1068">
      <c r="D1068" s="2" t="n"/>
      <c r="E1068" s="3" t="n"/>
      <c r="F1068" s="3" t="n"/>
      <c r="G1068" s="3" t="n"/>
      <c r="H1068" s="4" t="n"/>
      <c r="L1068" s="2" t="n"/>
      <c r="N1068" s="2" t="n"/>
    </row>
    <row r="1069">
      <c r="D1069" s="2" t="n"/>
      <c r="E1069" s="3" t="n"/>
      <c r="F1069" s="3" t="n"/>
      <c r="G1069" s="3" t="n"/>
      <c r="H1069" s="4" t="n"/>
      <c r="L1069" s="2" t="n"/>
      <c r="N1069" s="2" t="n"/>
    </row>
    <row r="1070">
      <c r="D1070" s="2" t="n"/>
      <c r="E1070" s="3" t="n"/>
      <c r="F1070" s="3" t="n"/>
      <c r="G1070" s="3" t="n"/>
      <c r="H1070" s="4" t="n"/>
      <c r="L1070" s="2" t="n"/>
      <c r="N1070" s="2" t="n"/>
    </row>
    <row r="1071">
      <c r="D1071" s="2" t="n"/>
      <c r="E1071" s="3" t="n"/>
      <c r="F1071" s="3" t="n"/>
      <c r="G1071" s="3" t="n"/>
      <c r="H1071" s="4" t="n"/>
      <c r="L1071" s="2" t="n"/>
      <c r="N1071" s="2" t="n"/>
    </row>
    <row r="1072">
      <c r="D1072" s="2" t="n"/>
      <c r="E1072" s="3" t="n"/>
      <c r="F1072" s="3" t="n"/>
      <c r="G1072" s="3" t="n"/>
      <c r="H1072" s="4" t="n"/>
      <c r="L1072" s="2" t="n"/>
      <c r="N1072" s="2" t="n"/>
    </row>
    <row r="1073">
      <c r="D1073" s="2" t="n"/>
      <c r="E1073" s="3" t="n"/>
      <c r="F1073" s="3" t="n"/>
      <c r="G1073" s="3" t="n"/>
      <c r="H1073" s="4" t="n"/>
      <c r="L1073" s="2" t="n"/>
      <c r="N1073" s="2" t="n"/>
    </row>
    <row r="1074">
      <c r="D1074" s="2" t="n"/>
      <c r="E1074" s="3" t="n"/>
      <c r="F1074" s="3" t="n"/>
      <c r="G1074" s="3" t="n"/>
      <c r="H1074" s="4" t="n"/>
      <c r="L1074" s="2" t="n"/>
      <c r="N1074" s="2" t="n"/>
    </row>
    <row r="1075">
      <c r="D1075" s="2" t="n"/>
      <c r="E1075" s="3" t="n"/>
      <c r="F1075" s="3" t="n"/>
      <c r="G1075" s="3" t="n"/>
      <c r="H1075" s="4" t="n"/>
      <c r="L1075" s="2" t="n"/>
      <c r="N1075" s="2" t="n"/>
    </row>
    <row r="1076">
      <c r="D1076" s="2" t="n"/>
      <c r="E1076" s="3" t="n"/>
      <c r="F1076" s="3" t="n"/>
      <c r="G1076" s="3" t="n"/>
      <c r="H1076" s="4" t="n"/>
      <c r="L1076" s="2" t="n"/>
      <c r="N1076" s="2" t="n"/>
    </row>
    <row r="1077">
      <c r="D1077" s="2" t="n"/>
      <c r="E1077" s="3" t="n"/>
      <c r="F1077" s="3" t="n"/>
      <c r="G1077" s="3" t="n"/>
      <c r="H1077" s="4" t="n"/>
      <c r="L1077" s="2" t="n"/>
      <c r="N1077" s="2" t="n"/>
    </row>
    <row r="1078">
      <c r="D1078" s="2" t="n"/>
      <c r="E1078" s="3" t="n"/>
      <c r="F1078" s="3" t="n"/>
      <c r="G1078" s="3" t="n"/>
      <c r="H1078" s="4" t="n"/>
      <c r="L1078" s="2" t="n"/>
      <c r="N1078" s="2" t="n"/>
    </row>
    <row r="1079">
      <c r="D1079" s="2" t="n"/>
      <c r="E1079" s="3" t="n"/>
      <c r="F1079" s="3" t="n"/>
      <c r="G1079" s="3" t="n"/>
      <c r="H1079" s="4" t="n"/>
      <c r="L1079" s="2" t="n"/>
      <c r="N1079" s="2" t="n"/>
    </row>
    <row r="1080">
      <c r="D1080" s="2" t="n"/>
      <c r="E1080" s="3" t="n"/>
      <c r="F1080" s="3" t="n"/>
      <c r="G1080" s="3" t="n"/>
      <c r="H1080" s="4" t="n"/>
      <c r="L1080" s="2" t="n"/>
      <c r="N1080" s="2" t="n"/>
    </row>
    <row r="1081">
      <c r="D1081" s="2" t="n"/>
      <c r="E1081" s="3" t="n"/>
      <c r="F1081" s="3" t="n"/>
      <c r="G1081" s="3" t="n"/>
      <c r="H1081" s="4" t="n"/>
      <c r="L1081" s="2" t="n"/>
      <c r="N1081" s="2" t="n"/>
    </row>
    <row r="1082">
      <c r="D1082" s="2" t="n"/>
      <c r="E1082" s="3" t="n"/>
      <c r="F1082" s="3" t="n"/>
      <c r="G1082" s="3" t="n"/>
      <c r="H1082" s="4" t="n"/>
      <c r="L1082" s="2" t="n"/>
      <c r="N1082" s="2" t="n"/>
    </row>
    <row r="1083">
      <c r="D1083" s="2" t="n"/>
      <c r="E1083" s="3" t="n"/>
      <c r="F1083" s="3" t="n"/>
      <c r="G1083" s="3" t="n"/>
      <c r="H1083" s="4" t="n"/>
      <c r="L1083" s="2" t="n"/>
      <c r="N1083" s="2" t="n"/>
    </row>
    <row r="1084">
      <c r="D1084" s="2" t="n"/>
      <c r="E1084" s="3" t="n"/>
      <c r="F1084" s="3" t="n"/>
      <c r="G1084" s="3" t="n"/>
      <c r="H1084" s="4" t="n"/>
      <c r="L1084" s="2" t="n"/>
      <c r="N1084" s="2" t="n"/>
    </row>
    <row r="1085">
      <c r="D1085" s="2" t="n"/>
      <c r="E1085" s="3" t="n"/>
      <c r="F1085" s="3" t="n"/>
      <c r="G1085" s="3" t="n"/>
      <c r="H1085" s="4" t="n"/>
      <c r="L1085" s="2" t="n"/>
      <c r="N1085" s="2" t="n"/>
    </row>
    <row r="1086">
      <c r="D1086" s="2" t="n"/>
      <c r="E1086" s="3" t="n"/>
      <c r="F1086" s="3" t="n"/>
      <c r="G1086" s="3" t="n"/>
      <c r="H1086" s="4" t="n"/>
      <c r="L1086" s="2" t="n"/>
      <c r="N1086" s="2" t="n"/>
    </row>
    <row r="1087">
      <c r="D1087" s="2" t="n"/>
      <c r="E1087" s="3" t="n"/>
      <c r="F1087" s="3" t="n"/>
      <c r="G1087" s="3" t="n"/>
      <c r="H1087" s="4" t="n"/>
      <c r="L1087" s="2" t="n"/>
      <c r="N1087" s="2" t="n"/>
    </row>
    <row r="1088">
      <c r="D1088" s="2" t="n"/>
      <c r="E1088" s="3" t="n"/>
      <c r="F1088" s="3" t="n"/>
      <c r="G1088" s="3" t="n"/>
      <c r="H1088" s="4" t="n"/>
      <c r="L1088" s="2" t="n"/>
      <c r="N1088" s="2" t="n"/>
    </row>
    <row r="1089">
      <c r="D1089" s="2" t="n"/>
      <c r="E1089" s="3" t="n"/>
      <c r="F1089" s="3" t="n"/>
      <c r="G1089" s="3" t="n"/>
      <c r="H1089" s="4" t="n"/>
      <c r="L1089" s="2" t="n"/>
      <c r="N1089" s="2" t="n"/>
    </row>
    <row r="1090">
      <c r="D1090" s="2" t="n"/>
      <c r="E1090" s="3" t="n"/>
      <c r="F1090" s="3" t="n"/>
      <c r="G1090" s="3" t="n"/>
      <c r="H1090" s="4" t="n"/>
      <c r="L1090" s="2" t="n"/>
      <c r="N1090" s="2" t="n"/>
    </row>
    <row r="1091">
      <c r="D1091" s="2" t="n"/>
      <c r="E1091" s="3" t="n"/>
      <c r="F1091" s="3" t="n"/>
      <c r="G1091" s="3" t="n"/>
      <c r="H1091" s="4" t="n"/>
      <c r="L1091" s="2" t="n"/>
      <c r="N1091" s="2" t="n"/>
    </row>
    <row r="1092">
      <c r="D1092" s="2" t="n"/>
      <c r="E1092" s="3" t="n"/>
      <c r="F1092" s="3" t="n"/>
      <c r="G1092" s="3" t="n"/>
      <c r="H1092" s="4" t="n"/>
      <c r="L1092" s="2" t="n"/>
      <c r="N1092" s="2" t="n"/>
    </row>
    <row r="1093">
      <c r="D1093" s="2" t="n"/>
      <c r="E1093" s="3" t="n"/>
      <c r="F1093" s="3" t="n"/>
      <c r="G1093" s="3" t="n"/>
      <c r="H1093" s="4" t="n"/>
      <c r="L1093" s="2" t="n"/>
      <c r="N1093" s="2" t="n"/>
    </row>
    <row r="1094">
      <c r="D1094" s="2" t="n"/>
      <c r="E1094" s="3" t="n"/>
      <c r="F1094" s="3" t="n"/>
      <c r="G1094" s="3" t="n"/>
      <c r="H1094" s="4" t="n"/>
      <c r="L1094" s="2" t="n"/>
      <c r="N1094" s="2" t="n"/>
    </row>
    <row r="1095">
      <c r="D1095" s="2" t="n"/>
      <c r="E1095" s="3" t="n"/>
      <c r="F1095" s="3" t="n"/>
      <c r="G1095" s="3" t="n"/>
      <c r="H1095" s="4" t="n"/>
      <c r="L1095" s="2" t="n"/>
      <c r="N1095" s="2" t="n"/>
    </row>
    <row r="1096">
      <c r="D1096" s="2" t="n"/>
      <c r="E1096" s="3" t="n"/>
      <c r="F1096" s="3" t="n"/>
      <c r="G1096" s="3" t="n"/>
      <c r="H1096" s="4" t="n"/>
      <c r="L1096" s="2" t="n"/>
      <c r="N1096" s="2" t="n"/>
    </row>
    <row r="1097">
      <c r="D1097" s="2" t="n"/>
      <c r="E1097" s="3" t="n"/>
      <c r="F1097" s="3" t="n"/>
      <c r="G1097" s="3" t="n"/>
      <c r="H1097" s="4" t="n"/>
      <c r="L1097" s="2" t="n"/>
      <c r="N1097" s="2" t="n"/>
    </row>
    <row r="1098">
      <c r="D1098" s="2" t="n"/>
      <c r="E1098" s="3" t="n"/>
      <c r="F1098" s="3" t="n"/>
      <c r="G1098" s="3" t="n"/>
      <c r="H1098" s="4" t="n"/>
      <c r="L1098" s="2" t="n"/>
      <c r="N1098" s="2" t="n"/>
    </row>
    <row r="1099">
      <c r="D1099" s="2" t="n"/>
      <c r="E1099" s="3" t="n"/>
      <c r="F1099" s="3" t="n"/>
      <c r="G1099" s="3" t="n"/>
      <c r="H1099" s="4" t="n"/>
      <c r="L1099" s="2" t="n"/>
      <c r="N1099" s="2" t="n"/>
    </row>
    <row r="1100">
      <c r="D1100" s="2" t="n"/>
      <c r="E1100" s="3" t="n"/>
      <c r="F1100" s="3" t="n"/>
      <c r="G1100" s="3" t="n"/>
      <c r="H1100" s="4" t="n"/>
      <c r="L1100" s="2" t="n"/>
      <c r="N1100" s="2" t="n"/>
    </row>
    <row r="1101">
      <c r="D1101" s="2" t="n"/>
      <c r="E1101" s="3" t="n"/>
      <c r="F1101" s="3" t="n"/>
      <c r="G1101" s="3" t="n"/>
      <c r="H1101" s="4" t="n"/>
      <c r="L1101" s="2" t="n"/>
      <c r="N1101" s="2" t="n"/>
    </row>
    <row r="1102">
      <c r="D1102" s="2" t="n"/>
      <c r="E1102" s="3" t="n"/>
      <c r="F1102" s="3" t="n"/>
      <c r="G1102" s="3" t="n"/>
      <c r="H1102" s="4" t="n"/>
      <c r="L1102" s="2" t="n"/>
      <c r="N1102" s="2" t="n"/>
    </row>
    <row r="1103">
      <c r="D1103" s="2" t="n"/>
      <c r="E1103" s="3" t="n"/>
      <c r="F1103" s="3" t="n"/>
      <c r="G1103" s="3" t="n"/>
      <c r="H1103" s="4" t="n"/>
      <c r="L1103" s="2" t="n"/>
      <c r="N1103" s="2" t="n"/>
    </row>
    <row r="1104">
      <c r="D1104" s="2" t="n"/>
      <c r="E1104" s="3" t="n"/>
      <c r="F1104" s="3" t="n"/>
      <c r="G1104" s="3" t="n"/>
      <c r="H1104" s="4" t="n"/>
      <c r="L1104" s="2" t="n"/>
      <c r="N1104" s="2" t="n"/>
    </row>
    <row r="1105">
      <c r="D1105" s="2" t="n"/>
      <c r="E1105" s="3" t="n"/>
      <c r="F1105" s="3" t="n"/>
      <c r="G1105" s="3" t="n"/>
      <c r="H1105" s="4" t="n"/>
      <c r="L1105" s="2" t="n"/>
      <c r="N1105" s="2" t="n"/>
    </row>
    <row r="1106">
      <c r="D1106" s="2" t="n"/>
      <c r="E1106" s="3" t="n"/>
      <c r="F1106" s="3" t="n"/>
      <c r="G1106" s="3" t="n"/>
      <c r="H1106" s="4" t="n"/>
      <c r="L1106" s="2" t="n"/>
      <c r="N1106" s="2" t="n"/>
    </row>
    <row r="1107">
      <c r="D1107" s="2" t="n"/>
      <c r="E1107" s="3" t="n"/>
      <c r="F1107" s="3" t="n"/>
      <c r="G1107" s="3" t="n"/>
      <c r="H1107" s="4" t="n"/>
      <c r="L1107" s="2" t="n"/>
      <c r="N1107" s="2" t="n"/>
    </row>
    <row r="1108">
      <c r="D1108" s="2" t="n"/>
      <c r="E1108" s="3" t="n"/>
      <c r="F1108" s="3" t="n"/>
      <c r="G1108" s="3" t="n"/>
      <c r="H1108" s="4" t="n"/>
      <c r="L1108" s="2" t="n"/>
      <c r="N1108" s="2" t="n"/>
    </row>
    <row r="1109">
      <c r="D1109" s="2" t="n"/>
      <c r="E1109" s="3" t="n"/>
      <c r="F1109" s="3" t="n"/>
      <c r="G1109" s="3" t="n"/>
      <c r="H1109" s="4" t="n"/>
      <c r="L1109" s="2" t="n"/>
      <c r="N1109" s="2" t="n"/>
    </row>
    <row r="1110">
      <c r="D1110" s="2" t="n"/>
      <c r="E1110" s="3" t="n"/>
      <c r="F1110" s="3" t="n"/>
      <c r="G1110" s="3" t="n"/>
      <c r="H1110" s="4" t="n"/>
      <c r="L1110" s="2" t="n"/>
      <c r="N1110" s="2" t="n"/>
    </row>
    <row r="1111">
      <c r="D1111" s="2" t="n"/>
      <c r="E1111" s="3" t="n"/>
      <c r="F1111" s="3" t="n"/>
      <c r="G1111" s="3" t="n"/>
      <c r="H1111" s="4" t="n"/>
      <c r="L1111" s="2" t="n"/>
      <c r="N1111" s="2" t="n"/>
    </row>
    <row r="1112">
      <c r="D1112" s="2" t="n"/>
      <c r="E1112" s="3" t="n"/>
      <c r="F1112" s="3" t="n"/>
      <c r="G1112" s="3" t="n"/>
      <c r="H1112" s="4" t="n"/>
      <c r="L1112" s="2" t="n"/>
      <c r="N1112" s="2" t="n"/>
    </row>
    <row r="1113">
      <c r="D1113" s="2" t="n"/>
      <c r="E1113" s="3" t="n"/>
      <c r="F1113" s="3" t="n"/>
      <c r="G1113" s="3" t="n"/>
      <c r="H1113" s="4" t="n"/>
      <c r="L1113" s="2" t="n"/>
      <c r="N1113" s="2" t="n"/>
    </row>
    <row r="1114">
      <c r="D1114" s="2" t="n"/>
      <c r="E1114" s="3" t="n"/>
      <c r="F1114" s="3" t="n"/>
      <c r="G1114" s="3" t="n"/>
      <c r="H1114" s="4" t="n"/>
      <c r="L1114" s="2" t="n"/>
      <c r="N1114" s="2" t="n"/>
    </row>
    <row r="1115">
      <c r="D1115" s="2" t="n"/>
      <c r="E1115" s="3" t="n"/>
      <c r="F1115" s="3" t="n"/>
      <c r="G1115" s="3" t="n"/>
      <c r="H1115" s="4" t="n"/>
      <c r="L1115" s="2" t="n"/>
      <c r="N1115" s="2" t="n"/>
    </row>
    <row r="1116">
      <c r="D1116" s="2" t="n"/>
      <c r="E1116" s="3" t="n"/>
      <c r="F1116" s="3" t="n"/>
      <c r="G1116" s="3" t="n"/>
      <c r="H1116" s="4" t="n"/>
      <c r="L1116" s="2" t="n"/>
      <c r="N1116" s="2" t="n"/>
    </row>
    <row r="1117">
      <c r="D1117" s="2" t="n"/>
      <c r="E1117" s="3" t="n"/>
      <c r="F1117" s="3" t="n"/>
      <c r="G1117" s="3" t="n"/>
      <c r="H1117" s="4" t="n"/>
      <c r="L1117" s="2" t="n"/>
      <c r="N1117" s="2" t="n"/>
    </row>
    <row r="1118">
      <c r="D1118" s="2" t="n"/>
      <c r="E1118" s="3" t="n"/>
      <c r="F1118" s="3" t="n"/>
      <c r="G1118" s="3" t="n"/>
      <c r="H1118" s="4" t="n"/>
      <c r="L1118" s="2" t="n"/>
      <c r="N1118" s="2" t="n"/>
    </row>
    <row r="1119">
      <c r="D1119" s="2" t="n"/>
      <c r="E1119" s="3" t="n"/>
      <c r="F1119" s="3" t="n"/>
      <c r="G1119" s="3" t="n"/>
      <c r="H1119" s="4" t="n"/>
      <c r="L1119" s="2" t="n"/>
      <c r="N1119" s="2" t="n"/>
    </row>
    <row r="1120">
      <c r="D1120" s="2" t="n"/>
      <c r="E1120" s="3" t="n"/>
      <c r="F1120" s="3" t="n"/>
      <c r="G1120" s="3" t="n"/>
      <c r="H1120" s="4" t="n"/>
      <c r="L1120" s="2" t="n"/>
      <c r="N1120" s="2" t="n"/>
    </row>
    <row r="1121">
      <c r="D1121" s="2" t="n"/>
      <c r="E1121" s="3" t="n"/>
      <c r="F1121" s="3" t="n"/>
      <c r="G1121" s="3" t="n"/>
      <c r="H1121" s="4" t="n"/>
      <c r="L1121" s="2" t="n"/>
      <c r="N1121" s="2" t="n"/>
    </row>
    <row r="1122">
      <c r="D1122" s="2" t="n"/>
      <c r="E1122" s="3" t="n"/>
      <c r="F1122" s="3" t="n"/>
      <c r="G1122" s="3" t="n"/>
      <c r="H1122" s="4" t="n"/>
      <c r="L1122" s="2" t="n"/>
      <c r="N1122" s="2" t="n"/>
    </row>
    <row r="1123">
      <c r="D1123" s="2" t="n"/>
      <c r="E1123" s="3" t="n"/>
      <c r="F1123" s="3" t="n"/>
      <c r="G1123" s="3" t="n"/>
      <c r="H1123" s="4" t="n"/>
      <c r="L1123" s="2" t="n"/>
      <c r="N1123" s="2" t="n"/>
    </row>
    <row r="1124">
      <c r="D1124" s="2" t="n"/>
      <c r="E1124" s="3" t="n"/>
      <c r="F1124" s="3" t="n"/>
      <c r="G1124" s="3" t="n"/>
      <c r="H1124" s="4" t="n"/>
      <c r="L1124" s="2" t="n"/>
      <c r="N1124" s="2" t="n"/>
    </row>
    <row r="1125">
      <c r="D1125" s="2" t="n"/>
      <c r="E1125" s="3" t="n"/>
      <c r="F1125" s="3" t="n"/>
      <c r="G1125" s="3" t="n"/>
      <c r="H1125" s="4" t="n"/>
      <c r="L1125" s="2" t="n"/>
      <c r="N1125" s="2" t="n"/>
    </row>
    <row r="1126">
      <c r="D1126" s="2" t="n"/>
      <c r="E1126" s="3" t="n"/>
      <c r="F1126" s="3" t="n"/>
      <c r="G1126" s="3" t="n"/>
      <c r="H1126" s="4" t="n"/>
      <c r="L1126" s="2" t="n"/>
      <c r="N1126" s="2" t="n"/>
    </row>
    <row r="1127">
      <c r="D1127" s="2" t="n"/>
      <c r="E1127" s="3" t="n"/>
      <c r="F1127" s="3" t="n"/>
      <c r="G1127" s="3" t="n"/>
      <c r="H1127" s="4" t="n"/>
      <c r="L1127" s="2" t="n"/>
      <c r="N1127" s="2" t="n"/>
    </row>
    <row r="1128">
      <c r="D1128" s="2" t="n"/>
      <c r="E1128" s="3" t="n"/>
      <c r="F1128" s="3" t="n"/>
      <c r="G1128" s="3" t="n"/>
      <c r="H1128" s="4" t="n"/>
      <c r="L1128" s="2" t="n"/>
      <c r="N1128" s="2" t="n"/>
    </row>
    <row r="1129">
      <c r="D1129" s="2" t="n"/>
      <c r="E1129" s="3" t="n"/>
      <c r="F1129" s="3" t="n"/>
      <c r="G1129" s="3" t="n"/>
      <c r="H1129" s="4" t="n"/>
      <c r="L1129" s="2" t="n"/>
      <c r="N1129" s="2" t="n"/>
    </row>
    <row r="1130">
      <c r="D1130" s="2" t="n"/>
      <c r="E1130" s="3" t="n"/>
      <c r="F1130" s="3" t="n"/>
      <c r="G1130" s="3" t="n"/>
      <c r="H1130" s="4" t="n"/>
      <c r="L1130" s="2" t="n"/>
      <c r="N1130" s="2" t="n"/>
    </row>
    <row r="1131">
      <c r="D1131" s="2" t="n"/>
      <c r="E1131" s="3" t="n"/>
      <c r="F1131" s="3" t="n"/>
      <c r="G1131" s="3" t="n"/>
      <c r="H1131" s="4" t="n"/>
      <c r="L1131" s="2" t="n"/>
      <c r="N1131" s="2" t="n"/>
    </row>
    <row r="1132">
      <c r="D1132" s="2" t="n"/>
      <c r="E1132" s="3" t="n"/>
      <c r="F1132" s="3" t="n"/>
      <c r="G1132" s="3" t="n"/>
      <c r="H1132" s="4" t="n"/>
      <c r="L1132" s="2" t="n"/>
      <c r="N1132" s="2" t="n"/>
    </row>
    <row r="1133">
      <c r="D1133" s="2" t="n"/>
      <c r="E1133" s="3" t="n"/>
      <c r="F1133" s="3" t="n"/>
      <c r="G1133" s="3" t="n"/>
      <c r="H1133" s="4" t="n"/>
      <c r="L1133" s="2" t="n"/>
      <c r="N1133" s="2" t="n"/>
    </row>
    <row r="1134">
      <c r="D1134" s="2" t="n"/>
      <c r="E1134" s="3" t="n"/>
      <c r="F1134" s="3" t="n"/>
      <c r="G1134" s="3" t="n"/>
      <c r="H1134" s="4" t="n"/>
      <c r="L1134" s="2" t="n"/>
      <c r="N1134" s="2" t="n"/>
    </row>
    <row r="1135">
      <c r="D1135" s="2" t="n"/>
      <c r="E1135" s="3" t="n"/>
      <c r="F1135" s="3" t="n"/>
      <c r="G1135" s="3" t="n"/>
      <c r="H1135" s="4" t="n"/>
      <c r="L1135" s="2" t="n"/>
      <c r="N1135" s="2" t="n"/>
    </row>
    <row r="1136">
      <c r="D1136" s="2" t="n"/>
      <c r="E1136" s="3" t="n"/>
      <c r="F1136" s="3" t="n"/>
      <c r="G1136" s="3" t="n"/>
      <c r="H1136" s="4" t="n"/>
      <c r="L1136" s="2" t="n"/>
      <c r="N1136" s="2" t="n"/>
    </row>
    <row r="1137">
      <c r="D1137" s="2" t="n"/>
      <c r="E1137" s="3" t="n"/>
      <c r="F1137" s="3" t="n"/>
      <c r="G1137" s="3" t="n"/>
      <c r="H1137" s="4" t="n"/>
      <c r="L1137" s="2" t="n"/>
      <c r="N1137" s="2" t="n"/>
    </row>
    <row r="1138">
      <c r="D1138" s="2" t="n"/>
      <c r="E1138" s="3" t="n"/>
      <c r="F1138" s="3" t="n"/>
      <c r="G1138" s="3" t="n"/>
      <c r="H1138" s="4" t="n"/>
      <c r="L1138" s="2" t="n"/>
      <c r="N1138" s="2" t="n"/>
    </row>
    <row r="1139">
      <c r="D1139" s="2" t="n"/>
      <c r="E1139" s="3" t="n"/>
      <c r="F1139" s="3" t="n"/>
      <c r="G1139" s="3" t="n"/>
      <c r="H1139" s="4" t="n"/>
      <c r="L1139" s="2" t="n"/>
      <c r="N1139" s="2" t="n"/>
    </row>
    <row r="1140">
      <c r="D1140" s="2" t="n"/>
      <c r="E1140" s="3" t="n"/>
      <c r="F1140" s="3" t="n"/>
      <c r="G1140" s="3" t="n"/>
      <c r="H1140" s="4" t="n"/>
      <c r="L1140" s="2" t="n"/>
      <c r="N1140" s="2" t="n"/>
    </row>
    <row r="1141">
      <c r="D1141" s="2" t="n"/>
      <c r="E1141" s="3" t="n"/>
      <c r="F1141" s="3" t="n"/>
      <c r="G1141" s="3" t="n"/>
      <c r="H1141" s="4" t="n"/>
      <c r="L1141" s="2" t="n"/>
      <c r="N1141" s="2" t="n"/>
    </row>
    <row r="1142">
      <c r="D1142" s="2" t="n"/>
      <c r="E1142" s="3" t="n"/>
      <c r="F1142" s="3" t="n"/>
      <c r="G1142" s="3" t="n"/>
      <c r="H1142" s="4" t="n"/>
      <c r="L1142" s="2" t="n"/>
      <c r="N1142" s="2" t="n"/>
    </row>
    <row r="1143">
      <c r="D1143" s="2" t="n"/>
      <c r="E1143" s="3" t="n"/>
      <c r="F1143" s="3" t="n"/>
      <c r="G1143" s="3" t="n"/>
      <c r="H1143" s="4" t="n"/>
      <c r="L1143" s="2" t="n"/>
      <c r="N1143" s="2" t="n"/>
    </row>
    <row r="1144">
      <c r="D1144" s="2" t="n"/>
      <c r="E1144" s="3" t="n"/>
      <c r="F1144" s="3" t="n"/>
      <c r="G1144" s="3" t="n"/>
      <c r="H1144" s="4" t="n"/>
      <c r="L1144" s="2" t="n"/>
      <c r="N1144" s="2" t="n"/>
    </row>
    <row r="1145">
      <c r="D1145" s="2" t="n"/>
      <c r="E1145" s="3" t="n"/>
      <c r="F1145" s="3" t="n"/>
      <c r="G1145" s="3" t="n"/>
      <c r="H1145" s="4" t="n"/>
      <c r="L1145" s="2" t="n"/>
      <c r="N1145" s="2" t="n"/>
    </row>
    <row r="1146">
      <c r="D1146" s="2" t="n"/>
      <c r="E1146" s="3" t="n"/>
      <c r="F1146" s="3" t="n"/>
      <c r="G1146" s="3" t="n"/>
      <c r="H1146" s="4" t="n"/>
      <c r="L1146" s="2" t="n"/>
      <c r="N1146" s="2" t="n"/>
    </row>
    <row r="1147">
      <c r="D1147" s="2" t="n"/>
      <c r="E1147" s="3" t="n"/>
      <c r="F1147" s="3" t="n"/>
      <c r="G1147" s="3" t="n"/>
      <c r="H1147" s="4" t="n"/>
      <c r="L1147" s="2" t="n"/>
      <c r="N1147" s="2" t="n"/>
    </row>
    <row r="1148">
      <c r="D1148" s="2" t="n"/>
      <c r="E1148" s="3" t="n"/>
      <c r="F1148" s="3" t="n"/>
      <c r="G1148" s="3" t="n"/>
      <c r="H1148" s="4" t="n"/>
      <c r="L1148" s="2" t="n"/>
      <c r="N1148" s="2" t="n"/>
    </row>
    <row r="1149">
      <c r="D1149" s="2" t="n"/>
      <c r="E1149" s="3" t="n"/>
      <c r="F1149" s="3" t="n"/>
      <c r="G1149" s="3" t="n"/>
      <c r="H1149" s="4" t="n"/>
      <c r="L1149" s="2" t="n"/>
      <c r="N1149" s="2" t="n"/>
    </row>
    <row r="1150">
      <c r="D1150" s="2" t="n"/>
      <c r="E1150" s="3" t="n"/>
      <c r="F1150" s="3" t="n"/>
      <c r="G1150" s="3" t="n"/>
      <c r="H1150" s="4" t="n"/>
      <c r="L1150" s="2" t="n"/>
      <c r="N1150" s="2" t="n"/>
    </row>
    <row r="1151">
      <c r="D1151" s="2" t="n"/>
      <c r="E1151" s="3" t="n"/>
      <c r="F1151" s="3" t="n"/>
      <c r="G1151" s="3" t="n"/>
      <c r="H1151" s="4" t="n"/>
      <c r="L1151" s="2" t="n"/>
      <c r="N1151" s="2" t="n"/>
    </row>
    <row r="1152">
      <c r="D1152" s="2" t="n"/>
      <c r="E1152" s="3" t="n"/>
      <c r="F1152" s="3" t="n"/>
      <c r="G1152" s="3" t="n"/>
      <c r="H1152" s="4" t="n"/>
      <c r="L1152" s="2" t="n"/>
      <c r="N1152" s="2" t="n"/>
    </row>
    <row r="1153">
      <c r="D1153" s="2" t="n"/>
      <c r="E1153" s="3" t="n"/>
      <c r="F1153" s="3" t="n"/>
      <c r="G1153" s="3" t="n"/>
      <c r="H1153" s="4" t="n"/>
      <c r="L1153" s="2" t="n"/>
      <c r="N1153" s="2" t="n"/>
    </row>
    <row r="1154">
      <c r="D1154" s="2" t="n"/>
      <c r="E1154" s="3" t="n"/>
      <c r="F1154" s="3" t="n"/>
      <c r="G1154" s="3" t="n"/>
      <c r="H1154" s="4" t="n"/>
      <c r="L1154" s="2" t="n"/>
      <c r="N1154" s="2" t="n"/>
    </row>
    <row r="1155">
      <c r="D1155" s="2" t="n"/>
      <c r="E1155" s="3" t="n"/>
      <c r="F1155" s="3" t="n"/>
      <c r="G1155" s="3" t="n"/>
      <c r="H1155" s="4" t="n"/>
      <c r="L1155" s="2" t="n"/>
      <c r="N1155" s="2" t="n"/>
    </row>
    <row r="1156">
      <c r="D1156" s="2" t="n"/>
      <c r="E1156" s="3" t="n"/>
      <c r="F1156" s="3" t="n"/>
      <c r="G1156" s="3" t="n"/>
      <c r="H1156" s="4" t="n"/>
      <c r="L1156" s="2" t="n"/>
      <c r="N1156" s="2" t="n"/>
    </row>
    <row r="1157">
      <c r="D1157" s="2" t="n"/>
      <c r="E1157" s="3" t="n"/>
      <c r="F1157" s="3" t="n"/>
      <c r="G1157" s="3" t="n"/>
      <c r="H1157" s="4" t="n"/>
      <c r="L1157" s="2" t="n"/>
      <c r="N1157" s="2" t="n"/>
    </row>
    <row r="1158">
      <c r="D1158" s="2" t="n"/>
      <c r="E1158" s="3" t="n"/>
      <c r="F1158" s="3" t="n"/>
      <c r="G1158" s="3" t="n"/>
      <c r="H1158" s="4" t="n"/>
      <c r="L1158" s="2" t="n"/>
      <c r="N1158" s="2" t="n"/>
    </row>
    <row r="1159">
      <c r="D1159" s="2" t="n"/>
      <c r="E1159" s="3" t="n"/>
      <c r="F1159" s="3" t="n"/>
      <c r="G1159" s="3" t="n"/>
      <c r="H1159" s="4" t="n"/>
      <c r="L1159" s="2" t="n"/>
      <c r="N1159" s="2" t="n"/>
    </row>
    <row r="1160">
      <c r="D1160" s="2" t="n"/>
      <c r="E1160" s="3" t="n"/>
      <c r="F1160" s="3" t="n"/>
      <c r="G1160" s="3" t="n"/>
      <c r="H1160" s="4" t="n"/>
      <c r="L1160" s="2" t="n"/>
      <c r="N1160" s="2" t="n"/>
    </row>
    <row r="1161">
      <c r="D1161" s="2" t="n"/>
      <c r="E1161" s="3" t="n"/>
      <c r="F1161" s="3" t="n"/>
      <c r="G1161" s="3" t="n"/>
      <c r="H1161" s="4" t="n"/>
      <c r="L1161" s="2" t="n"/>
      <c r="N1161" s="2" t="n"/>
    </row>
    <row r="1162">
      <c r="D1162" s="2" t="n"/>
      <c r="E1162" s="3" t="n"/>
      <c r="F1162" s="3" t="n"/>
      <c r="G1162" s="3" t="n"/>
      <c r="H1162" s="4" t="n"/>
      <c r="L1162" s="2" t="n"/>
      <c r="N1162" s="2" t="n"/>
    </row>
    <row r="1163">
      <c r="D1163" s="2" t="n"/>
      <c r="E1163" s="3" t="n"/>
      <c r="F1163" s="3" t="n"/>
      <c r="G1163" s="3" t="n"/>
      <c r="H1163" s="4" t="n"/>
      <c r="L1163" s="2" t="n"/>
      <c r="N1163" s="2" t="n"/>
    </row>
    <row r="1164">
      <c r="D1164" s="2" t="n"/>
      <c r="E1164" s="3" t="n"/>
      <c r="F1164" s="3" t="n"/>
      <c r="G1164" s="3" t="n"/>
      <c r="H1164" s="4" t="n"/>
      <c r="L1164" s="2" t="n"/>
      <c r="N1164" s="2" t="n"/>
    </row>
    <row r="1165">
      <c r="D1165" s="2" t="n"/>
      <c r="E1165" s="3" t="n"/>
      <c r="F1165" s="3" t="n"/>
      <c r="G1165" s="3" t="n"/>
      <c r="H1165" s="4" t="n"/>
      <c r="L1165" s="2" t="n"/>
      <c r="N1165" s="2" t="n"/>
    </row>
    <row r="1166">
      <c r="D1166" s="2" t="n"/>
      <c r="E1166" s="3" t="n"/>
      <c r="F1166" s="3" t="n"/>
      <c r="G1166" s="3" t="n"/>
      <c r="H1166" s="4" t="n"/>
      <c r="L1166" s="2" t="n"/>
      <c r="N1166" s="2" t="n"/>
    </row>
    <row r="1167">
      <c r="D1167" s="2" t="n"/>
      <c r="E1167" s="3" t="n"/>
      <c r="F1167" s="3" t="n"/>
      <c r="G1167" s="3" t="n"/>
      <c r="H1167" s="4" t="n"/>
      <c r="L1167" s="2" t="n"/>
      <c r="N1167" s="2" t="n"/>
    </row>
    <row r="1168">
      <c r="D1168" s="2" t="n"/>
      <c r="E1168" s="3" t="n"/>
      <c r="F1168" s="3" t="n"/>
      <c r="G1168" s="3" t="n"/>
      <c r="H1168" s="4" t="n"/>
      <c r="L1168" s="2" t="n"/>
      <c r="N1168" s="2" t="n"/>
    </row>
    <row r="1169">
      <c r="D1169" s="2" t="n"/>
      <c r="E1169" s="3" t="n"/>
      <c r="F1169" s="3" t="n"/>
      <c r="G1169" s="3" t="n"/>
      <c r="H1169" s="4" t="n"/>
      <c r="L1169" s="2" t="n"/>
      <c r="N1169" s="2" t="n"/>
    </row>
    <row r="1170">
      <c r="D1170" s="2" t="n"/>
      <c r="E1170" s="3" t="n"/>
      <c r="F1170" s="3" t="n"/>
      <c r="G1170" s="3" t="n"/>
      <c r="H1170" s="4" t="n"/>
      <c r="L1170" s="2" t="n"/>
      <c r="N1170" s="2" t="n"/>
    </row>
    <row r="1171">
      <c r="D1171" s="2" t="n"/>
      <c r="E1171" s="3" t="n"/>
      <c r="F1171" s="3" t="n"/>
      <c r="G1171" s="3" t="n"/>
      <c r="H1171" s="4" t="n"/>
      <c r="L1171" s="2" t="n"/>
      <c r="N1171" s="2" t="n"/>
    </row>
    <row r="1172">
      <c r="D1172" s="2" t="n"/>
      <c r="E1172" s="3" t="n"/>
      <c r="F1172" s="3" t="n"/>
      <c r="G1172" s="3" t="n"/>
      <c r="H1172" s="4" t="n"/>
      <c r="L1172" s="2" t="n"/>
      <c r="N1172" s="2" t="n"/>
    </row>
    <row r="1173">
      <c r="D1173" s="2" t="n"/>
      <c r="E1173" s="3" t="n"/>
      <c r="F1173" s="3" t="n"/>
      <c r="G1173" s="3" t="n"/>
      <c r="H1173" s="4" t="n"/>
      <c r="L1173" s="2" t="n"/>
      <c r="N1173" s="2" t="n"/>
    </row>
    <row r="1174">
      <c r="D1174" s="2" t="n"/>
      <c r="E1174" s="3" t="n"/>
      <c r="F1174" s="3" t="n"/>
      <c r="G1174" s="3" t="n"/>
      <c r="H1174" s="4" t="n"/>
      <c r="L1174" s="2" t="n"/>
      <c r="N1174" s="2" t="n"/>
    </row>
    <row r="1175">
      <c r="D1175" s="2" t="n"/>
      <c r="E1175" s="3" t="n"/>
      <c r="F1175" s="3" t="n"/>
      <c r="G1175" s="3" t="n"/>
      <c r="H1175" s="4" t="n"/>
      <c r="L1175" s="2" t="n"/>
      <c r="N1175" s="2" t="n"/>
    </row>
    <row r="1176">
      <c r="D1176" s="2" t="n"/>
      <c r="E1176" s="3" t="n"/>
      <c r="F1176" s="3" t="n"/>
      <c r="G1176" s="3" t="n"/>
      <c r="H1176" s="4" t="n"/>
      <c r="L1176" s="2" t="n"/>
      <c r="N1176" s="2" t="n"/>
    </row>
    <row r="1177">
      <c r="D1177" s="2" t="n"/>
      <c r="E1177" s="3" t="n"/>
      <c r="F1177" s="3" t="n"/>
      <c r="G1177" s="3" t="n"/>
      <c r="H1177" s="4" t="n"/>
      <c r="L1177" s="2" t="n"/>
      <c r="N1177" s="2" t="n"/>
    </row>
    <row r="1178">
      <c r="D1178" s="2" t="n"/>
      <c r="E1178" s="3" t="n"/>
      <c r="F1178" s="3" t="n"/>
      <c r="G1178" s="3" t="n"/>
      <c r="H1178" s="4" t="n"/>
      <c r="L1178" s="2" t="n"/>
      <c r="N1178" s="2" t="n"/>
    </row>
    <row r="1179">
      <c r="D1179" s="2" t="n"/>
      <c r="E1179" s="3" t="n"/>
      <c r="F1179" s="3" t="n"/>
      <c r="G1179" s="3" t="n"/>
      <c r="H1179" s="4" t="n"/>
      <c r="L1179" s="2" t="n"/>
      <c r="N1179" s="2" t="n"/>
    </row>
    <row r="1180">
      <c r="D1180" s="2" t="n"/>
      <c r="E1180" s="3" t="n"/>
      <c r="F1180" s="3" t="n"/>
      <c r="G1180" s="3" t="n"/>
      <c r="H1180" s="4" t="n"/>
      <c r="L1180" s="2" t="n"/>
      <c r="N1180" s="2" t="n"/>
    </row>
    <row r="1181">
      <c r="D1181" s="2" t="n"/>
      <c r="E1181" s="3" t="n"/>
      <c r="F1181" s="3" t="n"/>
      <c r="G1181" s="3" t="n"/>
      <c r="H1181" s="4" t="n"/>
      <c r="L1181" s="2" t="n"/>
      <c r="N1181" s="2" t="n"/>
    </row>
    <row r="1182">
      <c r="D1182" s="2" t="n"/>
      <c r="E1182" s="3" t="n"/>
      <c r="F1182" s="3" t="n"/>
      <c r="G1182" s="3" t="n"/>
      <c r="H1182" s="4" t="n"/>
      <c r="L1182" s="2" t="n"/>
      <c r="N1182" s="2" t="n"/>
    </row>
    <row r="1183">
      <c r="D1183" s="2" t="n"/>
      <c r="E1183" s="3" t="n"/>
      <c r="F1183" s="3" t="n"/>
      <c r="G1183" s="3" t="n"/>
      <c r="H1183" s="4" t="n"/>
      <c r="L1183" s="2" t="n"/>
      <c r="N1183" s="2" t="n"/>
    </row>
    <row r="1184">
      <c r="D1184" s="2" t="n"/>
      <c r="E1184" s="3" t="n"/>
      <c r="F1184" s="3" t="n"/>
      <c r="G1184" s="3" t="n"/>
      <c r="H1184" s="4" t="n"/>
      <c r="L1184" s="2" t="n"/>
      <c r="N1184" s="2" t="n"/>
    </row>
    <row r="1185">
      <c r="D1185" s="2" t="n"/>
      <c r="E1185" s="3" t="n"/>
      <c r="F1185" s="3" t="n"/>
      <c r="G1185" s="3" t="n"/>
      <c r="H1185" s="4" t="n"/>
      <c r="L1185" s="2" t="n"/>
      <c r="N1185" s="2" t="n"/>
    </row>
    <row r="1186">
      <c r="D1186" s="2" t="n"/>
      <c r="E1186" s="3" t="n"/>
      <c r="F1186" s="3" t="n"/>
      <c r="G1186" s="3" t="n"/>
      <c r="H1186" s="4" t="n"/>
      <c r="L1186" s="2" t="n"/>
      <c r="N1186" s="2" t="n"/>
    </row>
    <row r="1187">
      <c r="D1187" s="2" t="n"/>
      <c r="E1187" s="3" t="n"/>
      <c r="F1187" s="3" t="n"/>
      <c r="G1187" s="3" t="n"/>
      <c r="H1187" s="4" t="n"/>
      <c r="L1187" s="2" t="n"/>
      <c r="N1187" s="2" t="n"/>
    </row>
    <row r="1188">
      <c r="D1188" s="2" t="n"/>
      <c r="E1188" s="3" t="n"/>
      <c r="F1188" s="3" t="n"/>
      <c r="G1188" s="3" t="n"/>
      <c r="H1188" s="4" t="n"/>
      <c r="L1188" s="2" t="n"/>
      <c r="N1188" s="2" t="n"/>
    </row>
    <row r="1189">
      <c r="D1189" s="2" t="n"/>
      <c r="E1189" s="3" t="n"/>
      <c r="F1189" s="3" t="n"/>
      <c r="G1189" s="3" t="n"/>
      <c r="H1189" s="4" t="n"/>
      <c r="L1189" s="2" t="n"/>
      <c r="N1189" s="2" t="n"/>
    </row>
    <row r="1190">
      <c r="D1190" s="2" t="n"/>
      <c r="E1190" s="3" t="n"/>
      <c r="F1190" s="3" t="n"/>
      <c r="G1190" s="3" t="n"/>
      <c r="H1190" s="4" t="n"/>
      <c r="L1190" s="2" t="n"/>
      <c r="N1190" s="2" t="n"/>
    </row>
    <row r="1191">
      <c r="D1191" s="2" t="n"/>
      <c r="E1191" s="3" t="n"/>
      <c r="F1191" s="3" t="n"/>
      <c r="G1191" s="3" t="n"/>
      <c r="H1191" s="4" t="n"/>
      <c r="L1191" s="2" t="n"/>
      <c r="N1191" s="2" t="n"/>
    </row>
    <row r="1192">
      <c r="D1192" s="2" t="n"/>
      <c r="E1192" s="3" t="n"/>
      <c r="F1192" s="3" t="n"/>
      <c r="G1192" s="3" t="n"/>
      <c r="H1192" s="4" t="n"/>
      <c r="L1192" s="2" t="n"/>
      <c r="N1192" s="2" t="n"/>
    </row>
    <row r="1193">
      <c r="D1193" s="2" t="n"/>
      <c r="E1193" s="3" t="n"/>
      <c r="F1193" s="3" t="n"/>
      <c r="G1193" s="3" t="n"/>
      <c r="H1193" s="4" t="n"/>
      <c r="L1193" s="2" t="n"/>
      <c r="N1193" s="2" t="n"/>
    </row>
    <row r="1194">
      <c r="D1194" s="2" t="n"/>
      <c r="E1194" s="3" t="n"/>
      <c r="F1194" s="3" t="n"/>
      <c r="G1194" s="3" t="n"/>
      <c r="H1194" s="4" t="n"/>
      <c r="L1194" s="2" t="n"/>
      <c r="N1194" s="2" t="n"/>
    </row>
    <row r="1195">
      <c r="D1195" s="2" t="n"/>
      <c r="E1195" s="3" t="n"/>
      <c r="F1195" s="3" t="n"/>
      <c r="G1195" s="3" t="n"/>
      <c r="H1195" s="4" t="n"/>
      <c r="L1195" s="2" t="n"/>
      <c r="N1195" s="2" t="n"/>
    </row>
    <row r="1196">
      <c r="D1196" s="2" t="n"/>
      <c r="E1196" s="3" t="n"/>
      <c r="F1196" s="3" t="n"/>
      <c r="G1196" s="3" t="n"/>
      <c r="H1196" s="4" t="n"/>
      <c r="L1196" s="2" t="n"/>
      <c r="N1196" s="2" t="n"/>
    </row>
    <row r="1197">
      <c r="D1197" s="2" t="n"/>
      <c r="E1197" s="3" t="n"/>
      <c r="F1197" s="3" t="n"/>
      <c r="G1197" s="3" t="n"/>
      <c r="H1197" s="4" t="n"/>
      <c r="L1197" s="2" t="n"/>
      <c r="N1197" s="2" t="n"/>
    </row>
    <row r="1198">
      <c r="D1198" s="2" t="n"/>
      <c r="E1198" s="3" t="n"/>
      <c r="F1198" s="3" t="n"/>
      <c r="G1198" s="3" t="n"/>
      <c r="H1198" s="4" t="n"/>
      <c r="L1198" s="2" t="n"/>
      <c r="N1198" s="2" t="n"/>
    </row>
    <row r="1199">
      <c r="D1199" s="2" t="n"/>
      <c r="E1199" s="3" t="n"/>
      <c r="F1199" s="3" t="n"/>
      <c r="G1199" s="3" t="n"/>
      <c r="H1199" s="4" t="n"/>
      <c r="L1199" s="2" t="n"/>
      <c r="N1199" s="2" t="n"/>
    </row>
    <row r="1200">
      <c r="D1200" s="2" t="n"/>
      <c r="E1200" s="3" t="n"/>
      <c r="F1200" s="3" t="n"/>
      <c r="G1200" s="3" t="n"/>
      <c r="H1200" s="4" t="n"/>
      <c r="L1200" s="2" t="n"/>
      <c r="N1200" s="2" t="n"/>
    </row>
    <row r="1201">
      <c r="D1201" s="2" t="n"/>
      <c r="E1201" s="3" t="n"/>
      <c r="F1201" s="3" t="n"/>
      <c r="G1201" s="3" t="n"/>
      <c r="H1201" s="4" t="n"/>
      <c r="L1201" s="2" t="n"/>
      <c r="N1201" s="2" t="n"/>
    </row>
    <row r="1202">
      <c r="D1202" s="2" t="n"/>
      <c r="E1202" s="3" t="n"/>
      <c r="F1202" s="3" t="n"/>
      <c r="G1202" s="3" t="n"/>
      <c r="H1202" s="4" t="n"/>
      <c r="L1202" s="2" t="n"/>
      <c r="N1202" s="2" t="n"/>
    </row>
    <row r="1203">
      <c r="D1203" s="2" t="n"/>
      <c r="E1203" s="3" t="n"/>
      <c r="F1203" s="3" t="n"/>
      <c r="G1203" s="3" t="n"/>
      <c r="H1203" s="4" t="n"/>
      <c r="L1203" s="2" t="n"/>
      <c r="N1203" s="2" t="n"/>
    </row>
    <row r="1204">
      <c r="D1204" s="2" t="n"/>
      <c r="E1204" s="3" t="n"/>
      <c r="F1204" s="3" t="n"/>
      <c r="G1204" s="3" t="n"/>
      <c r="H1204" s="4" t="n"/>
      <c r="L1204" s="2" t="n"/>
      <c r="N1204" s="2" t="n"/>
    </row>
    <row r="1205">
      <c r="D1205" s="2" t="n"/>
      <c r="E1205" s="3" t="n"/>
      <c r="F1205" s="3" t="n"/>
      <c r="G1205" s="3" t="n"/>
      <c r="H1205" s="4" t="n"/>
      <c r="L1205" s="2" t="n"/>
      <c r="N1205" s="2" t="n"/>
    </row>
    <row r="1206">
      <c r="D1206" s="2" t="n"/>
      <c r="E1206" s="3" t="n"/>
      <c r="F1206" s="3" t="n"/>
      <c r="G1206" s="3" t="n"/>
      <c r="H1206" s="4" t="n"/>
      <c r="L1206" s="2" t="n"/>
      <c r="N1206" s="2" t="n"/>
    </row>
    <row r="1207">
      <c r="D1207" s="2" t="n"/>
      <c r="E1207" s="3" t="n"/>
      <c r="F1207" s="3" t="n"/>
      <c r="G1207" s="3" t="n"/>
      <c r="H1207" s="4" t="n"/>
      <c r="L1207" s="2" t="n"/>
      <c r="N1207" s="2" t="n"/>
    </row>
    <row r="1208">
      <c r="D1208" s="2" t="n"/>
      <c r="E1208" s="3" t="n"/>
      <c r="F1208" s="3" t="n"/>
      <c r="G1208" s="3" t="n"/>
      <c r="H1208" s="4" t="n"/>
      <c r="L1208" s="2" t="n"/>
      <c r="N1208" s="2" t="n"/>
    </row>
    <row r="1209">
      <c r="D1209" s="2" t="n"/>
      <c r="E1209" s="3" t="n"/>
      <c r="F1209" s="3" t="n"/>
      <c r="G1209" s="3" t="n"/>
      <c r="H1209" s="4" t="n"/>
      <c r="L1209" s="2" t="n"/>
      <c r="N1209" s="2" t="n"/>
    </row>
    <row r="1210">
      <c r="D1210" s="2" t="n"/>
      <c r="E1210" s="3" t="n"/>
      <c r="F1210" s="3" t="n"/>
      <c r="G1210" s="3" t="n"/>
      <c r="H1210" s="4" t="n"/>
      <c r="L1210" s="2" t="n"/>
      <c r="N1210" s="2" t="n"/>
    </row>
    <row r="1211">
      <c r="D1211" s="2" t="n"/>
      <c r="E1211" s="3" t="n"/>
      <c r="F1211" s="3" t="n"/>
      <c r="G1211" s="3" t="n"/>
      <c r="H1211" s="4" t="n"/>
      <c r="L1211" s="2" t="n"/>
      <c r="N1211" s="2" t="n"/>
    </row>
    <row r="1212">
      <c r="D1212" s="2" t="n"/>
      <c r="E1212" s="3" t="n"/>
      <c r="F1212" s="3" t="n"/>
      <c r="G1212" s="3" t="n"/>
      <c r="H1212" s="4" t="n"/>
      <c r="L1212" s="2" t="n"/>
      <c r="N1212" s="2" t="n"/>
    </row>
    <row r="1213">
      <c r="D1213" s="2" t="n"/>
      <c r="E1213" s="3" t="n"/>
      <c r="F1213" s="3" t="n"/>
      <c r="G1213" s="3" t="n"/>
      <c r="H1213" s="4" t="n"/>
      <c r="L1213" s="2" t="n"/>
      <c r="N1213" s="2" t="n"/>
    </row>
    <row r="1214">
      <c r="D1214" s="2" t="n"/>
      <c r="E1214" s="3" t="n"/>
      <c r="F1214" s="3" t="n"/>
      <c r="G1214" s="3" t="n"/>
      <c r="H1214" s="4" t="n"/>
      <c r="L1214" s="2" t="n"/>
      <c r="N1214" s="2" t="n"/>
    </row>
    <row r="1215">
      <c r="D1215" s="2" t="n"/>
      <c r="E1215" s="3" t="n"/>
      <c r="F1215" s="3" t="n"/>
      <c r="G1215" s="3" t="n"/>
      <c r="H1215" s="4" t="n"/>
      <c r="L1215" s="2" t="n"/>
      <c r="N1215" s="2" t="n"/>
    </row>
    <row r="1216">
      <c r="D1216" s="2" t="n"/>
      <c r="E1216" s="3" t="n"/>
      <c r="F1216" s="3" t="n"/>
      <c r="G1216" s="3" t="n"/>
      <c r="H1216" s="4" t="n"/>
      <c r="L1216" s="2" t="n"/>
      <c r="N1216" s="2" t="n"/>
    </row>
    <row r="1217">
      <c r="D1217" s="2" t="n"/>
      <c r="E1217" s="3" t="n"/>
      <c r="F1217" s="3" t="n"/>
      <c r="G1217" s="3" t="n"/>
      <c r="H1217" s="4" t="n"/>
      <c r="L1217" s="2" t="n"/>
      <c r="N1217" s="2" t="n"/>
    </row>
    <row r="1218">
      <c r="D1218" s="2" t="n"/>
      <c r="E1218" s="3" t="n"/>
      <c r="F1218" s="3" t="n"/>
      <c r="G1218" s="3" t="n"/>
      <c r="H1218" s="4" t="n"/>
      <c r="L1218" s="2" t="n"/>
      <c r="N1218" s="2" t="n"/>
    </row>
    <row r="1219">
      <c r="D1219" s="2" t="n"/>
      <c r="E1219" s="3" t="n"/>
      <c r="F1219" s="3" t="n"/>
      <c r="G1219" s="3" t="n"/>
      <c r="H1219" s="4" t="n"/>
      <c r="L1219" s="2" t="n"/>
      <c r="N1219" s="2" t="n"/>
    </row>
    <row r="1220">
      <c r="D1220" s="2" t="n"/>
      <c r="E1220" s="3" t="n"/>
      <c r="F1220" s="3" t="n"/>
      <c r="G1220" s="3" t="n"/>
      <c r="H1220" s="4" t="n"/>
      <c r="L1220" s="2" t="n"/>
      <c r="N1220" s="2" t="n"/>
    </row>
    <row r="1221">
      <c r="D1221" s="2" t="n"/>
      <c r="E1221" s="3" t="n"/>
      <c r="F1221" s="3" t="n"/>
      <c r="G1221" s="3" t="n"/>
      <c r="H1221" s="4" t="n"/>
      <c r="L1221" s="2" t="n"/>
      <c r="N1221" s="2" t="n"/>
    </row>
    <row r="1222">
      <c r="D1222" s="2" t="n"/>
      <c r="E1222" s="3" t="n"/>
      <c r="F1222" s="3" t="n"/>
      <c r="G1222" s="3" t="n"/>
      <c r="H1222" s="4" t="n"/>
      <c r="L1222" s="2" t="n"/>
      <c r="N1222" s="2" t="n"/>
    </row>
    <row r="1223">
      <c r="D1223" s="2" t="n"/>
      <c r="E1223" s="3" t="n"/>
      <c r="F1223" s="3" t="n"/>
      <c r="G1223" s="3" t="n"/>
      <c r="H1223" s="4" t="n"/>
      <c r="L1223" s="2" t="n"/>
      <c r="N1223" s="2" t="n"/>
    </row>
    <row r="1224">
      <c r="D1224" s="2" t="n"/>
      <c r="E1224" s="3" t="n"/>
      <c r="F1224" s="3" t="n"/>
      <c r="G1224" s="3" t="n"/>
      <c r="H1224" s="4" t="n"/>
      <c r="L1224" s="2" t="n"/>
      <c r="N1224" s="2" t="n"/>
    </row>
    <row r="1225">
      <c r="D1225" s="2" t="n"/>
      <c r="E1225" s="3" t="n"/>
      <c r="F1225" s="3" t="n"/>
      <c r="G1225" s="3" t="n"/>
      <c r="H1225" s="4" t="n"/>
      <c r="L1225" s="2" t="n"/>
      <c r="N1225" s="2" t="n"/>
    </row>
    <row r="1226">
      <c r="D1226" s="2" t="n"/>
      <c r="E1226" s="3" t="n"/>
      <c r="F1226" s="3" t="n"/>
      <c r="G1226" s="3" t="n"/>
      <c r="H1226" s="4" t="n"/>
      <c r="L1226" s="2" t="n"/>
      <c r="N1226" s="2" t="n"/>
    </row>
    <row r="1227">
      <c r="D1227" s="2" t="n"/>
      <c r="E1227" s="3" t="n"/>
      <c r="F1227" s="3" t="n"/>
      <c r="G1227" s="3" t="n"/>
      <c r="H1227" s="4" t="n"/>
      <c r="L1227" s="2" t="n"/>
      <c r="N1227" s="2" t="n"/>
    </row>
    <row r="1228">
      <c r="D1228" s="2" t="n"/>
      <c r="E1228" s="3" t="n"/>
      <c r="F1228" s="3" t="n"/>
      <c r="G1228" s="3" t="n"/>
      <c r="H1228" s="4" t="n"/>
      <c r="L1228" s="2" t="n"/>
      <c r="N1228" s="2" t="n"/>
    </row>
    <row r="1229">
      <c r="D1229" s="2" t="n"/>
      <c r="E1229" s="3" t="n"/>
      <c r="F1229" s="3" t="n"/>
      <c r="G1229" s="3" t="n"/>
      <c r="H1229" s="4" t="n"/>
      <c r="L1229" s="2" t="n"/>
      <c r="N1229" s="2" t="n"/>
    </row>
    <row r="1230">
      <c r="D1230" s="2" t="n"/>
      <c r="E1230" s="3" t="n"/>
      <c r="F1230" s="3" t="n"/>
      <c r="G1230" s="3" t="n"/>
      <c r="H1230" s="4" t="n"/>
      <c r="L1230" s="2" t="n"/>
      <c r="N1230" s="2" t="n"/>
    </row>
    <row r="1231">
      <c r="D1231" s="2" t="n"/>
      <c r="E1231" s="3" t="n"/>
      <c r="F1231" s="3" t="n"/>
      <c r="G1231" s="3" t="n"/>
      <c r="H1231" s="4" t="n"/>
      <c r="L1231" s="2" t="n"/>
      <c r="N1231" s="2" t="n"/>
    </row>
    <row r="1232">
      <c r="D1232" s="2" t="n"/>
      <c r="E1232" s="3" t="n"/>
      <c r="F1232" s="3" t="n"/>
      <c r="G1232" s="3" t="n"/>
      <c r="H1232" s="4" t="n"/>
      <c r="L1232" s="2" t="n"/>
      <c r="N1232" s="2" t="n"/>
    </row>
    <row r="1233">
      <c r="D1233" s="2" t="n"/>
      <c r="E1233" s="3" t="n"/>
      <c r="F1233" s="3" t="n"/>
      <c r="G1233" s="3" t="n"/>
      <c r="H1233" s="4" t="n"/>
      <c r="L1233" s="2" t="n"/>
      <c r="N1233" s="2" t="n"/>
    </row>
    <row r="1234">
      <c r="D1234" s="2" t="n"/>
      <c r="E1234" s="3" t="n"/>
      <c r="F1234" s="3" t="n"/>
      <c r="G1234" s="3" t="n"/>
      <c r="H1234" s="4" t="n"/>
      <c r="L1234" s="2" t="n"/>
      <c r="N1234" s="2" t="n"/>
    </row>
    <row r="1235">
      <c r="D1235" s="2" t="n"/>
      <c r="E1235" s="3" t="n"/>
      <c r="F1235" s="3" t="n"/>
      <c r="G1235" s="3" t="n"/>
      <c r="H1235" s="4" t="n"/>
      <c r="L1235" s="2" t="n"/>
      <c r="N1235" s="2" t="n"/>
    </row>
    <row r="1236">
      <c r="D1236" s="2" t="n"/>
      <c r="E1236" s="3" t="n"/>
      <c r="F1236" s="3" t="n"/>
      <c r="G1236" s="3" t="n"/>
      <c r="H1236" s="4" t="n"/>
      <c r="L1236" s="2" t="n"/>
      <c r="N1236" s="2" t="n"/>
    </row>
    <row r="1237">
      <c r="D1237" s="2" t="n"/>
      <c r="E1237" s="3" t="n"/>
      <c r="F1237" s="3" t="n"/>
      <c r="G1237" s="3" t="n"/>
      <c r="H1237" s="4" t="n"/>
      <c r="L1237" s="2" t="n"/>
      <c r="N1237" s="2" t="n"/>
    </row>
    <row r="1238">
      <c r="D1238" s="2" t="n"/>
      <c r="E1238" s="3" t="n"/>
      <c r="F1238" s="3" t="n"/>
      <c r="G1238" s="3" t="n"/>
      <c r="H1238" s="4" t="n"/>
      <c r="L1238" s="2" t="n"/>
      <c r="N1238" s="2" t="n"/>
    </row>
    <row r="1239">
      <c r="D1239" s="2" t="n"/>
      <c r="E1239" s="3" t="n"/>
      <c r="F1239" s="3" t="n"/>
      <c r="G1239" s="3" t="n"/>
      <c r="H1239" s="4" t="n"/>
      <c r="L1239" s="2" t="n"/>
      <c r="N1239" s="2" t="n"/>
    </row>
    <row r="1240">
      <c r="D1240" s="2" t="n"/>
      <c r="E1240" s="3" t="n"/>
      <c r="F1240" s="3" t="n"/>
      <c r="G1240" s="3" t="n"/>
      <c r="H1240" s="4" t="n"/>
      <c r="L1240" s="2" t="n"/>
      <c r="N1240" s="2" t="n"/>
    </row>
    <row r="1241">
      <c r="D1241" s="2" t="n"/>
      <c r="E1241" s="3" t="n"/>
      <c r="F1241" s="3" t="n"/>
      <c r="G1241" s="3" t="n"/>
      <c r="H1241" s="4" t="n"/>
      <c r="L1241" s="2" t="n"/>
      <c r="N1241" s="2" t="n"/>
    </row>
    <row r="1242">
      <c r="D1242" s="2" t="n"/>
      <c r="E1242" s="3" t="n"/>
      <c r="F1242" s="3" t="n"/>
      <c r="G1242" s="3" t="n"/>
      <c r="H1242" s="4" t="n"/>
      <c r="L1242" s="2" t="n"/>
      <c r="N1242" s="2" t="n"/>
    </row>
    <row r="1243">
      <c r="D1243" s="2" t="n"/>
      <c r="E1243" s="3" t="n"/>
      <c r="F1243" s="3" t="n"/>
      <c r="G1243" s="3" t="n"/>
      <c r="H1243" s="4" t="n"/>
      <c r="L1243" s="2" t="n"/>
      <c r="N1243" s="2" t="n"/>
    </row>
    <row r="1244">
      <c r="D1244" s="2" t="n"/>
      <c r="E1244" s="3" t="n"/>
      <c r="F1244" s="3" t="n"/>
      <c r="G1244" s="3" t="n"/>
      <c r="H1244" s="4" t="n"/>
      <c r="L1244" s="2" t="n"/>
      <c r="N1244" s="2" t="n"/>
    </row>
    <row r="1245">
      <c r="D1245" s="2" t="n"/>
      <c r="E1245" s="3" t="n"/>
      <c r="F1245" s="3" t="n"/>
      <c r="G1245" s="3" t="n"/>
      <c r="H1245" s="4" t="n"/>
      <c r="L1245" s="2" t="n"/>
      <c r="N1245" s="2" t="n"/>
    </row>
    <row r="1246">
      <c r="D1246" s="2" t="n"/>
      <c r="E1246" s="3" t="n"/>
      <c r="F1246" s="3" t="n"/>
      <c r="G1246" s="3" t="n"/>
      <c r="H1246" s="4" t="n"/>
      <c r="L1246" s="2" t="n"/>
      <c r="N1246" s="2" t="n"/>
    </row>
    <row r="1247">
      <c r="D1247" s="2" t="n"/>
      <c r="E1247" s="3" t="n"/>
      <c r="F1247" s="3" t="n"/>
      <c r="G1247" s="3" t="n"/>
      <c r="H1247" s="4" t="n"/>
      <c r="L1247" s="2" t="n"/>
      <c r="N1247" s="2" t="n"/>
    </row>
    <row r="1248">
      <c r="D1248" s="2" t="n"/>
      <c r="E1248" s="3" t="n"/>
      <c r="F1248" s="3" t="n"/>
      <c r="G1248" s="3" t="n"/>
      <c r="H1248" s="4" t="n"/>
      <c r="L1248" s="2" t="n"/>
      <c r="N1248" s="2" t="n"/>
    </row>
    <row r="1249">
      <c r="D1249" s="2" t="n"/>
      <c r="E1249" s="3" t="n"/>
      <c r="F1249" s="3" t="n"/>
      <c r="G1249" s="3" t="n"/>
      <c r="H1249" s="4" t="n"/>
      <c r="L1249" s="2" t="n"/>
      <c r="N1249" s="2" t="n"/>
    </row>
    <row r="1250">
      <c r="D1250" s="2" t="n"/>
      <c r="E1250" s="3" t="n"/>
      <c r="F1250" s="3" t="n"/>
      <c r="G1250" s="3" t="n"/>
      <c r="H1250" s="4" t="n"/>
      <c r="L1250" s="2" t="n"/>
      <c r="N1250" s="2" t="n"/>
    </row>
    <row r="1251">
      <c r="D1251" s="2" t="n"/>
      <c r="E1251" s="3" t="n"/>
      <c r="F1251" s="3" t="n"/>
      <c r="G1251" s="3" t="n"/>
      <c r="H1251" s="4" t="n"/>
      <c r="L1251" s="2" t="n"/>
      <c r="N1251" s="2" t="n"/>
    </row>
    <row r="1252">
      <c r="D1252" s="2" t="n"/>
      <c r="E1252" s="3" t="n"/>
      <c r="F1252" s="3" t="n"/>
      <c r="G1252" s="3" t="n"/>
      <c r="H1252" s="4" t="n"/>
      <c r="L1252" s="2" t="n"/>
      <c r="N1252" s="2" t="n"/>
    </row>
    <row r="1253">
      <c r="D1253" s="2" t="n"/>
      <c r="E1253" s="3" t="n"/>
      <c r="F1253" s="3" t="n"/>
      <c r="G1253" s="3" t="n"/>
      <c r="H1253" s="4" t="n"/>
      <c r="L1253" s="2" t="n"/>
      <c r="N1253" s="2" t="n"/>
    </row>
    <row r="1254">
      <c r="D1254" s="2" t="n"/>
      <c r="E1254" s="3" t="n"/>
      <c r="F1254" s="3" t="n"/>
      <c r="G1254" s="3" t="n"/>
      <c r="H1254" s="4" t="n"/>
      <c r="L1254" s="2" t="n"/>
      <c r="N1254" s="2" t="n"/>
    </row>
    <row r="1255">
      <c r="D1255" s="2" t="n"/>
      <c r="E1255" s="3" t="n"/>
      <c r="F1255" s="3" t="n"/>
      <c r="G1255" s="3" t="n"/>
      <c r="H1255" s="4" t="n"/>
      <c r="L1255" s="2" t="n"/>
      <c r="N1255" s="2" t="n"/>
    </row>
    <row r="1256">
      <c r="D1256" s="2" t="n"/>
      <c r="E1256" s="3" t="n"/>
      <c r="F1256" s="3" t="n"/>
      <c r="G1256" s="3" t="n"/>
      <c r="H1256" s="4" t="n"/>
      <c r="L1256" s="2" t="n"/>
      <c r="N1256" s="2" t="n"/>
    </row>
    <row r="1257">
      <c r="D1257" s="2" t="n"/>
      <c r="E1257" s="3" t="n"/>
      <c r="F1257" s="3" t="n"/>
      <c r="G1257" s="3" t="n"/>
      <c r="H1257" s="4" t="n"/>
      <c r="L1257" s="2" t="n"/>
      <c r="N1257" s="2" t="n"/>
    </row>
    <row r="1258">
      <c r="D1258" s="2" t="n"/>
      <c r="E1258" s="3" t="n"/>
      <c r="F1258" s="3" t="n"/>
      <c r="G1258" s="3" t="n"/>
      <c r="H1258" s="4" t="n"/>
      <c r="L1258" s="2" t="n"/>
      <c r="N1258" s="2" t="n"/>
    </row>
    <row r="1259">
      <c r="D1259" s="2" t="n"/>
      <c r="E1259" s="3" t="n"/>
      <c r="F1259" s="3" t="n"/>
      <c r="G1259" s="3" t="n"/>
      <c r="H1259" s="4" t="n"/>
      <c r="L1259" s="2" t="n"/>
      <c r="N1259" s="2" t="n"/>
    </row>
    <row r="1260">
      <c r="D1260" s="2" t="n"/>
      <c r="E1260" s="3" t="n"/>
      <c r="F1260" s="3" t="n"/>
      <c r="G1260" s="3" t="n"/>
      <c r="H1260" s="4" t="n"/>
      <c r="L1260" s="2" t="n"/>
      <c r="N1260" s="2" t="n"/>
    </row>
    <row r="1261">
      <c r="D1261" s="2" t="n"/>
      <c r="E1261" s="3" t="n"/>
      <c r="F1261" s="3" t="n"/>
      <c r="G1261" s="3" t="n"/>
      <c r="H1261" s="4" t="n"/>
      <c r="L1261" s="2" t="n"/>
      <c r="N1261" s="2" t="n"/>
    </row>
    <row r="1262">
      <c r="D1262" s="2" t="n"/>
      <c r="E1262" s="3" t="n"/>
      <c r="F1262" s="3" t="n"/>
      <c r="G1262" s="3" t="n"/>
      <c r="H1262" s="4" t="n"/>
      <c r="L1262" s="2" t="n"/>
      <c r="N1262" s="2" t="n"/>
    </row>
    <row r="1263">
      <c r="D1263" s="2" t="n"/>
      <c r="E1263" s="3" t="n"/>
      <c r="F1263" s="3" t="n"/>
      <c r="G1263" s="3" t="n"/>
      <c r="H1263" s="4" t="n"/>
      <c r="L1263" s="2" t="n"/>
      <c r="N1263" s="2" t="n"/>
    </row>
    <row r="1264">
      <c r="D1264" s="2" t="n"/>
      <c r="E1264" s="3" t="n"/>
      <c r="F1264" s="3" t="n"/>
      <c r="G1264" s="3" t="n"/>
      <c r="H1264" s="4" t="n"/>
      <c r="L1264" s="2" t="n"/>
      <c r="N1264" s="2" t="n"/>
    </row>
    <row r="1265">
      <c r="D1265" s="2" t="n"/>
      <c r="E1265" s="3" t="n"/>
      <c r="F1265" s="3" t="n"/>
      <c r="G1265" s="3" t="n"/>
      <c r="H1265" s="4" t="n"/>
      <c r="L1265" s="2" t="n"/>
      <c r="N1265" s="2" t="n"/>
    </row>
    <row r="1266">
      <c r="D1266" s="2" t="n"/>
      <c r="E1266" s="3" t="n"/>
      <c r="F1266" s="3" t="n"/>
      <c r="G1266" s="3" t="n"/>
      <c r="H1266" s="4" t="n"/>
      <c r="L1266" s="2" t="n"/>
      <c r="N1266" s="2" t="n"/>
    </row>
    <row r="1267">
      <c r="D1267" s="2" t="n"/>
      <c r="E1267" s="3" t="n"/>
      <c r="F1267" s="3" t="n"/>
      <c r="G1267" s="3" t="n"/>
      <c r="H1267" s="4" t="n"/>
      <c r="L1267" s="2" t="n"/>
      <c r="N1267" s="2" t="n"/>
    </row>
    <row r="1268">
      <c r="D1268" s="2" t="n"/>
      <c r="E1268" s="3" t="n"/>
      <c r="F1268" s="3" t="n"/>
      <c r="G1268" s="3" t="n"/>
      <c r="H1268" s="4" t="n"/>
      <c r="L1268" s="2" t="n"/>
      <c r="N1268" s="2" t="n"/>
    </row>
    <row r="1269">
      <c r="D1269" s="2" t="n"/>
      <c r="E1269" s="3" t="n"/>
      <c r="F1269" s="3" t="n"/>
      <c r="G1269" s="3" t="n"/>
      <c r="H1269" s="4" t="n"/>
      <c r="L1269" s="2" t="n"/>
      <c r="N1269" s="2" t="n"/>
    </row>
    <row r="1270">
      <c r="D1270" s="2" t="n"/>
      <c r="E1270" s="3" t="n"/>
      <c r="F1270" s="3" t="n"/>
      <c r="G1270" s="3" t="n"/>
      <c r="H1270" s="4" t="n"/>
      <c r="L1270" s="2" t="n"/>
      <c r="N1270" s="2" t="n"/>
    </row>
    <row r="1271">
      <c r="D1271" s="2" t="n"/>
      <c r="E1271" s="3" t="n"/>
      <c r="F1271" s="3" t="n"/>
      <c r="G1271" s="3" t="n"/>
      <c r="H1271" s="4" t="n"/>
      <c r="L1271" s="2" t="n"/>
      <c r="N1271" s="2" t="n"/>
    </row>
    <row r="1272">
      <c r="D1272" s="2" t="n"/>
      <c r="E1272" s="3" t="n"/>
      <c r="F1272" s="3" t="n"/>
      <c r="G1272" s="3" t="n"/>
      <c r="H1272" s="4" t="n"/>
      <c r="L1272" s="2" t="n"/>
      <c r="N1272" s="2" t="n"/>
    </row>
    <row r="1273">
      <c r="D1273" s="2" t="n"/>
      <c r="E1273" s="3" t="n"/>
      <c r="F1273" s="3" t="n"/>
      <c r="G1273" s="3" t="n"/>
      <c r="H1273" s="4" t="n"/>
      <c r="L1273" s="2" t="n"/>
      <c r="N1273" s="2" t="n"/>
    </row>
    <row r="1274">
      <c r="D1274" s="2" t="n"/>
      <c r="E1274" s="3" t="n"/>
      <c r="F1274" s="3" t="n"/>
      <c r="G1274" s="3" t="n"/>
      <c r="H1274" s="4" t="n"/>
      <c r="L1274" s="2" t="n"/>
      <c r="N1274" s="2" t="n"/>
    </row>
    <row r="1275">
      <c r="D1275" s="2" t="n"/>
      <c r="E1275" s="3" t="n"/>
      <c r="F1275" s="3" t="n"/>
      <c r="G1275" s="3" t="n"/>
      <c r="H1275" s="4" t="n"/>
      <c r="L1275" s="2" t="n"/>
      <c r="N1275" s="2" t="n"/>
    </row>
    <row r="1276">
      <c r="D1276" s="2" t="n"/>
      <c r="E1276" s="3" t="n"/>
      <c r="F1276" s="3" t="n"/>
      <c r="G1276" s="3" t="n"/>
      <c r="H1276" s="4" t="n"/>
      <c r="L1276" s="2" t="n"/>
      <c r="N1276" s="2" t="n"/>
    </row>
    <row r="1277">
      <c r="D1277" s="2" t="n"/>
      <c r="E1277" s="3" t="n"/>
      <c r="F1277" s="3" t="n"/>
      <c r="G1277" s="3" t="n"/>
      <c r="H1277" s="4" t="n"/>
      <c r="L1277" s="2" t="n"/>
      <c r="N1277" s="2" t="n"/>
    </row>
    <row r="1278">
      <c r="D1278" s="2" t="n"/>
      <c r="E1278" s="3" t="n"/>
      <c r="F1278" s="3" t="n"/>
      <c r="G1278" s="3" t="n"/>
      <c r="H1278" s="4" t="n"/>
      <c r="L1278" s="2" t="n"/>
      <c r="N1278" s="2" t="n"/>
    </row>
    <row r="1279">
      <c r="D1279" s="2" t="n"/>
      <c r="E1279" s="3" t="n"/>
      <c r="F1279" s="3" t="n"/>
      <c r="G1279" s="3" t="n"/>
      <c r="H1279" s="4" t="n"/>
      <c r="L1279" s="2" t="n"/>
      <c r="N1279" s="2" t="n"/>
    </row>
    <row r="1280">
      <c r="D1280" s="2" t="n"/>
      <c r="E1280" s="3" t="n"/>
      <c r="F1280" s="3" t="n"/>
      <c r="G1280" s="3" t="n"/>
      <c r="H1280" s="4" t="n"/>
      <c r="L1280" s="2" t="n"/>
      <c r="N1280" s="2" t="n"/>
    </row>
    <row r="1281">
      <c r="D1281" s="2" t="n"/>
      <c r="E1281" s="3" t="n"/>
      <c r="F1281" s="3" t="n"/>
      <c r="G1281" s="3" t="n"/>
      <c r="H1281" s="4" t="n"/>
      <c r="L1281" s="2" t="n"/>
      <c r="N1281" s="2" t="n"/>
    </row>
    <row r="1282">
      <c r="D1282" s="2" t="n"/>
      <c r="E1282" s="3" t="n"/>
      <c r="F1282" s="3" t="n"/>
      <c r="G1282" s="3" t="n"/>
      <c r="H1282" s="4" t="n"/>
      <c r="L1282" s="2" t="n"/>
      <c r="N1282" s="2" t="n"/>
    </row>
    <row r="1283">
      <c r="D1283" s="2" t="n"/>
      <c r="E1283" s="3" t="n"/>
      <c r="F1283" s="3" t="n"/>
      <c r="G1283" s="3" t="n"/>
      <c r="H1283" s="4" t="n"/>
      <c r="L1283" s="2" t="n"/>
      <c r="N1283" s="2" t="n"/>
    </row>
    <row r="1284">
      <c r="D1284" s="2" t="n"/>
      <c r="E1284" s="3" t="n"/>
      <c r="F1284" s="3" t="n"/>
      <c r="G1284" s="3" t="n"/>
      <c r="H1284" s="4" t="n"/>
      <c r="L1284" s="2" t="n"/>
      <c r="N1284" s="2" t="n"/>
    </row>
    <row r="1285">
      <c r="D1285" s="2" t="n"/>
      <c r="E1285" s="3" t="n"/>
      <c r="F1285" s="3" t="n"/>
      <c r="G1285" s="3" t="n"/>
      <c r="H1285" s="4" t="n"/>
      <c r="L1285" s="2" t="n"/>
      <c r="N1285" s="2" t="n"/>
    </row>
    <row r="1286">
      <c r="D1286" s="2" t="n"/>
      <c r="E1286" s="3" t="n"/>
      <c r="F1286" s="3" t="n"/>
      <c r="G1286" s="3" t="n"/>
      <c r="H1286" s="4" t="n"/>
      <c r="L1286" s="2" t="n"/>
      <c r="N1286" s="2" t="n"/>
    </row>
    <row r="1287">
      <c r="D1287" s="2" t="n"/>
      <c r="E1287" s="3" t="n"/>
      <c r="F1287" s="3" t="n"/>
      <c r="G1287" s="3" t="n"/>
      <c r="H1287" s="4" t="n"/>
      <c r="L1287" s="2" t="n"/>
      <c r="N1287" s="2" t="n"/>
    </row>
    <row r="1288">
      <c r="D1288" s="2" t="n"/>
      <c r="E1288" s="3" t="n"/>
      <c r="F1288" s="3" t="n"/>
      <c r="G1288" s="3" t="n"/>
      <c r="H1288" s="4" t="n"/>
      <c r="L1288" s="2" t="n"/>
      <c r="N1288" s="2" t="n"/>
    </row>
    <row r="1289">
      <c r="D1289" s="2" t="n"/>
      <c r="E1289" s="3" t="n"/>
      <c r="F1289" s="3" t="n"/>
      <c r="G1289" s="3" t="n"/>
      <c r="H1289" s="4" t="n"/>
      <c r="L1289" s="2" t="n"/>
      <c r="N1289" s="2" t="n"/>
    </row>
    <row r="1290">
      <c r="D1290" s="2" t="n"/>
      <c r="E1290" s="3" t="n"/>
      <c r="F1290" s="3" t="n"/>
      <c r="G1290" s="3" t="n"/>
      <c r="H1290" s="4" t="n"/>
      <c r="L1290" s="2" t="n"/>
      <c r="N1290" s="2" t="n"/>
    </row>
    <row r="1291">
      <c r="D1291" s="2" t="n"/>
      <c r="E1291" s="3" t="n"/>
      <c r="F1291" s="3" t="n"/>
      <c r="G1291" s="3" t="n"/>
      <c r="H1291" s="4" t="n"/>
      <c r="L1291" s="2" t="n"/>
      <c r="N1291" s="2" t="n"/>
    </row>
    <row r="1292">
      <c r="D1292" s="2" t="n"/>
      <c r="E1292" s="3" t="n"/>
      <c r="F1292" s="3" t="n"/>
      <c r="G1292" s="3" t="n"/>
      <c r="H1292" s="4" t="n"/>
      <c r="L1292" s="2" t="n"/>
      <c r="N1292" s="2" t="n"/>
    </row>
    <row r="1293">
      <c r="D1293" s="2" t="n"/>
      <c r="E1293" s="3" t="n"/>
      <c r="F1293" s="3" t="n"/>
      <c r="G1293" s="3" t="n"/>
      <c r="H1293" s="4" t="n"/>
      <c r="L1293" s="2" t="n"/>
      <c r="N1293" s="2" t="n"/>
    </row>
    <row r="1294">
      <c r="D1294" s="2" t="n"/>
      <c r="E1294" s="3" t="n"/>
      <c r="F1294" s="3" t="n"/>
      <c r="G1294" s="3" t="n"/>
      <c r="H1294" s="4" t="n"/>
      <c r="L1294" s="2" t="n"/>
      <c r="N1294" s="2" t="n"/>
    </row>
    <row r="1295">
      <c r="D1295" s="2" t="n"/>
      <c r="E1295" s="3" t="n"/>
      <c r="F1295" s="3" t="n"/>
      <c r="G1295" s="3" t="n"/>
      <c r="H1295" s="4" t="n"/>
      <c r="L1295" s="2" t="n"/>
      <c r="N1295" s="2" t="n"/>
    </row>
    <row r="1296">
      <c r="D1296" s="2" t="n"/>
      <c r="E1296" s="3" t="n"/>
      <c r="F1296" s="3" t="n"/>
      <c r="G1296" s="3" t="n"/>
      <c r="H1296" s="4" t="n"/>
      <c r="L1296" s="2" t="n"/>
      <c r="N1296" s="2" t="n"/>
    </row>
    <row r="1297">
      <c r="D1297" s="2" t="n"/>
      <c r="E1297" s="3" t="n"/>
      <c r="F1297" s="3" t="n"/>
      <c r="G1297" s="3" t="n"/>
      <c r="H1297" s="4" t="n"/>
      <c r="L1297" s="2" t="n"/>
      <c r="N1297" s="2" t="n"/>
    </row>
    <row r="1298">
      <c r="D1298" s="2" t="n"/>
      <c r="E1298" s="3" t="n"/>
      <c r="F1298" s="3" t="n"/>
      <c r="G1298" s="3" t="n"/>
      <c r="H1298" s="4" t="n"/>
      <c r="L1298" s="2" t="n"/>
      <c r="N1298" s="2" t="n"/>
    </row>
    <row r="1299">
      <c r="D1299" s="2" t="n"/>
      <c r="E1299" s="3" t="n"/>
      <c r="F1299" s="3" t="n"/>
      <c r="G1299" s="3" t="n"/>
      <c r="H1299" s="4" t="n"/>
      <c r="L1299" s="2" t="n"/>
      <c r="N1299" s="2" t="n"/>
    </row>
    <row r="1300">
      <c r="D1300" s="2" t="n"/>
      <c r="E1300" s="3" t="n"/>
      <c r="F1300" s="3" t="n"/>
      <c r="G1300" s="3" t="n"/>
      <c r="H1300" s="4" t="n"/>
      <c r="L1300" s="2" t="n"/>
      <c r="N1300" s="2" t="n"/>
    </row>
    <row r="1301">
      <c r="D1301" s="2" t="n"/>
      <c r="E1301" s="3" t="n"/>
      <c r="F1301" s="3" t="n"/>
      <c r="G1301" s="3" t="n"/>
      <c r="H1301" s="4" t="n"/>
      <c r="L1301" s="2" t="n"/>
      <c r="N1301" s="2" t="n"/>
    </row>
    <row r="1302">
      <c r="D1302" s="2" t="n"/>
      <c r="E1302" s="3" t="n"/>
      <c r="F1302" s="3" t="n"/>
      <c r="G1302" s="3" t="n"/>
      <c r="H1302" s="4" t="n"/>
      <c r="L1302" s="2" t="n"/>
      <c r="N1302" s="2" t="n"/>
    </row>
    <row r="1303">
      <c r="D1303" s="2" t="n"/>
      <c r="E1303" s="3" t="n"/>
      <c r="F1303" s="3" t="n"/>
      <c r="G1303" s="3" t="n"/>
      <c r="H1303" s="4" t="n"/>
      <c r="L1303" s="2" t="n"/>
      <c r="N1303" s="2" t="n"/>
    </row>
    <row r="1304">
      <c r="D1304" s="2" t="n"/>
      <c r="E1304" s="3" t="n"/>
      <c r="F1304" s="3" t="n"/>
      <c r="G1304" s="3" t="n"/>
      <c r="H1304" s="4" t="n"/>
      <c r="L1304" s="2" t="n"/>
      <c r="N1304" s="2" t="n"/>
    </row>
    <row r="1305">
      <c r="D1305" s="2" t="n"/>
      <c r="E1305" s="3" t="n"/>
      <c r="F1305" s="3" t="n"/>
      <c r="G1305" s="3" t="n"/>
      <c r="H1305" s="4" t="n"/>
      <c r="L1305" s="2" t="n"/>
      <c r="N1305" s="2" t="n"/>
    </row>
    <row r="1306">
      <c r="D1306" s="2" t="n"/>
      <c r="E1306" s="3" t="n"/>
      <c r="F1306" s="3" t="n"/>
      <c r="G1306" s="3" t="n"/>
      <c r="H1306" s="4" t="n"/>
      <c r="L1306" s="2" t="n"/>
      <c r="N1306" s="2" t="n"/>
    </row>
    <row r="1307">
      <c r="D1307" s="2" t="n"/>
      <c r="E1307" s="3" t="n"/>
      <c r="F1307" s="3" t="n"/>
      <c r="G1307" s="3" t="n"/>
      <c r="H1307" s="4" t="n"/>
      <c r="L1307" s="2" t="n"/>
      <c r="N1307" s="2" t="n"/>
    </row>
    <row r="1308">
      <c r="D1308" s="2" t="n"/>
      <c r="E1308" s="3" t="n"/>
      <c r="F1308" s="3" t="n"/>
      <c r="G1308" s="3" t="n"/>
      <c r="H1308" s="4" t="n"/>
      <c r="L1308" s="2" t="n"/>
      <c r="N1308" s="2" t="n"/>
    </row>
    <row r="1309">
      <c r="D1309" s="2" t="n"/>
      <c r="E1309" s="3" t="n"/>
      <c r="F1309" s="3" t="n"/>
      <c r="G1309" s="3" t="n"/>
      <c r="H1309" s="4" t="n"/>
      <c r="L1309" s="2" t="n"/>
      <c r="N1309" s="2" t="n"/>
    </row>
    <row r="1310">
      <c r="D1310" s="2" t="n"/>
      <c r="E1310" s="3" t="n"/>
      <c r="F1310" s="3" t="n"/>
      <c r="G1310" s="3" t="n"/>
      <c r="H1310" s="4" t="n"/>
      <c r="L1310" s="2" t="n"/>
      <c r="N1310" s="2" t="n"/>
    </row>
    <row r="1311">
      <c r="D1311" s="2" t="n"/>
      <c r="E1311" s="3" t="n"/>
      <c r="F1311" s="3" t="n"/>
      <c r="G1311" s="3" t="n"/>
      <c r="H1311" s="4" t="n"/>
      <c r="L1311" s="2" t="n"/>
      <c r="N1311" s="2" t="n"/>
    </row>
    <row r="1312">
      <c r="D1312" s="2" t="n"/>
      <c r="E1312" s="3" t="n"/>
      <c r="F1312" s="3" t="n"/>
      <c r="G1312" s="3" t="n"/>
      <c r="H1312" s="4" t="n"/>
      <c r="L1312" s="2" t="n"/>
      <c r="N1312" s="2" t="n"/>
    </row>
    <row r="1313">
      <c r="D1313" s="2" t="n"/>
      <c r="E1313" s="3" t="n"/>
      <c r="F1313" s="3" t="n"/>
      <c r="G1313" s="3" t="n"/>
      <c r="H1313" s="4" t="n"/>
      <c r="L1313" s="2" t="n"/>
      <c r="N1313" s="2" t="n"/>
    </row>
    <row r="1314">
      <c r="D1314" s="2" t="n"/>
      <c r="E1314" s="3" t="n"/>
      <c r="F1314" s="3" t="n"/>
      <c r="G1314" s="3" t="n"/>
      <c r="H1314" s="4" t="n"/>
      <c r="L1314" s="2" t="n"/>
      <c r="N1314" s="2" t="n"/>
    </row>
    <row r="1315">
      <c r="D1315" s="2" t="n"/>
      <c r="E1315" s="3" t="n"/>
      <c r="F1315" s="3" t="n"/>
      <c r="G1315" s="3" t="n"/>
      <c r="H1315" s="4" t="n"/>
      <c r="L1315" s="2" t="n"/>
      <c r="N1315" s="2" t="n"/>
    </row>
    <row r="1316">
      <c r="D1316" s="2" t="n"/>
      <c r="E1316" s="3" t="n"/>
      <c r="F1316" s="3" t="n"/>
      <c r="G1316" s="3" t="n"/>
      <c r="H1316" s="4" t="n"/>
      <c r="L1316" s="2" t="n"/>
      <c r="N1316" s="2" t="n"/>
    </row>
    <row r="1317">
      <c r="D1317" s="2" t="n"/>
      <c r="E1317" s="3" t="n"/>
      <c r="F1317" s="3" t="n"/>
      <c r="G1317" s="3" t="n"/>
      <c r="H1317" s="4" t="n"/>
      <c r="L1317" s="2" t="n"/>
      <c r="N1317" s="2" t="n"/>
    </row>
    <row r="1318">
      <c r="D1318" s="2" t="n"/>
      <c r="E1318" s="3" t="n"/>
      <c r="F1318" s="3" t="n"/>
      <c r="G1318" s="3" t="n"/>
      <c r="H1318" s="4" t="n"/>
      <c r="L1318" s="2" t="n"/>
      <c r="N1318" s="2" t="n"/>
    </row>
    <row r="1319">
      <c r="D1319" s="2" t="n"/>
      <c r="E1319" s="3" t="n"/>
      <c r="F1319" s="3" t="n"/>
      <c r="G1319" s="3" t="n"/>
      <c r="H1319" s="4" t="n"/>
      <c r="L1319" s="2" t="n"/>
      <c r="N1319" s="2" t="n"/>
    </row>
    <row r="1320">
      <c r="D1320" s="2" t="n"/>
      <c r="E1320" s="3" t="n"/>
      <c r="F1320" s="3" t="n"/>
      <c r="G1320" s="3" t="n"/>
      <c r="H1320" s="4" t="n"/>
      <c r="L1320" s="2" t="n"/>
      <c r="N1320" s="2" t="n"/>
    </row>
    <row r="1321">
      <c r="D1321" s="2" t="n"/>
      <c r="E1321" s="3" t="n"/>
      <c r="F1321" s="3" t="n"/>
      <c r="G1321" s="3" t="n"/>
      <c r="H1321" s="4" t="n"/>
      <c r="L1321" s="2" t="n"/>
      <c r="N1321" s="2" t="n"/>
    </row>
    <row r="1322">
      <c r="D1322" s="2" t="n"/>
      <c r="E1322" s="3" t="n"/>
      <c r="F1322" s="3" t="n"/>
      <c r="G1322" s="3" t="n"/>
      <c r="H1322" s="4" t="n"/>
      <c r="L1322" s="2" t="n"/>
      <c r="N1322" s="2" t="n"/>
    </row>
    <row r="1323">
      <c r="D1323" s="2" t="n"/>
      <c r="E1323" s="3" t="n"/>
      <c r="F1323" s="3" t="n"/>
      <c r="G1323" s="3" t="n"/>
      <c r="H1323" s="4" t="n"/>
      <c r="L1323" s="2" t="n"/>
      <c r="N1323" s="2" t="n"/>
    </row>
    <row r="1324">
      <c r="D1324" s="2" t="n"/>
      <c r="E1324" s="3" t="n"/>
      <c r="F1324" s="3" t="n"/>
      <c r="G1324" s="3" t="n"/>
      <c r="H1324" s="4" t="n"/>
      <c r="L1324" s="2" t="n"/>
      <c r="N1324" s="2" t="n"/>
    </row>
    <row r="1325">
      <c r="D1325" s="2" t="n"/>
      <c r="E1325" s="3" t="n"/>
      <c r="F1325" s="3" t="n"/>
      <c r="G1325" s="3" t="n"/>
      <c r="H1325" s="4" t="n"/>
      <c r="L1325" s="2" t="n"/>
      <c r="N1325" s="2" t="n"/>
    </row>
    <row r="1326">
      <c r="D1326" s="2" t="n"/>
      <c r="E1326" s="3" t="n"/>
      <c r="F1326" s="3" t="n"/>
      <c r="G1326" s="3" t="n"/>
      <c r="H1326" s="4" t="n"/>
      <c r="L1326" s="2" t="n"/>
      <c r="N1326" s="2" t="n"/>
    </row>
    <row r="1327">
      <c r="D1327" s="2" t="n"/>
      <c r="E1327" s="3" t="n"/>
      <c r="F1327" s="3" t="n"/>
      <c r="G1327" s="3" t="n"/>
      <c r="H1327" s="4" t="n"/>
      <c r="L1327" s="2" t="n"/>
      <c r="N1327" s="2" t="n"/>
    </row>
    <row r="1328">
      <c r="D1328" s="2" t="n"/>
      <c r="E1328" s="3" t="n"/>
      <c r="F1328" s="3" t="n"/>
      <c r="G1328" s="3" t="n"/>
      <c r="H1328" s="4" t="n"/>
      <c r="L1328" s="2" t="n"/>
      <c r="N1328" s="2" t="n"/>
    </row>
    <row r="1329">
      <c r="D1329" s="2" t="n"/>
      <c r="E1329" s="3" t="n"/>
      <c r="F1329" s="3" t="n"/>
      <c r="G1329" s="3" t="n"/>
      <c r="H1329" s="4" t="n"/>
      <c r="L1329" s="2" t="n"/>
      <c r="N1329" s="2" t="n"/>
    </row>
    <row r="1330">
      <c r="D1330" s="2" t="n"/>
      <c r="E1330" s="3" t="n"/>
      <c r="F1330" s="3" t="n"/>
      <c r="G1330" s="3" t="n"/>
      <c r="H1330" s="4" t="n"/>
      <c r="L1330" s="2" t="n"/>
      <c r="N1330" s="2" t="n"/>
    </row>
    <row r="1331">
      <c r="D1331" s="2" t="n"/>
      <c r="E1331" s="3" t="n"/>
      <c r="F1331" s="3" t="n"/>
      <c r="G1331" s="3" t="n"/>
      <c r="H1331" s="4" t="n"/>
      <c r="L1331" s="2" t="n"/>
      <c r="N1331" s="2" t="n"/>
    </row>
    <row r="1332">
      <c r="D1332" s="2" t="n"/>
      <c r="E1332" s="3" t="n"/>
      <c r="F1332" s="3" t="n"/>
      <c r="G1332" s="3" t="n"/>
      <c r="H1332" s="4" t="n"/>
      <c r="L1332" s="2" t="n"/>
      <c r="N1332" s="2" t="n"/>
    </row>
    <row r="1333">
      <c r="D1333" s="2" t="n"/>
      <c r="E1333" s="3" t="n"/>
      <c r="F1333" s="3" t="n"/>
      <c r="G1333" s="3" t="n"/>
      <c r="H1333" s="4" t="n"/>
      <c r="L1333" s="2" t="n"/>
      <c r="N1333" s="2" t="n"/>
    </row>
    <row r="1334">
      <c r="D1334" s="2" t="n"/>
      <c r="E1334" s="3" t="n"/>
      <c r="F1334" s="3" t="n"/>
      <c r="G1334" s="3" t="n"/>
      <c r="H1334" s="4" t="n"/>
      <c r="L1334" s="2" t="n"/>
      <c r="N1334" s="2" t="n"/>
    </row>
    <row r="1335">
      <c r="D1335" s="2" t="n"/>
      <c r="E1335" s="3" t="n"/>
      <c r="F1335" s="3" t="n"/>
      <c r="G1335" s="3" t="n"/>
      <c r="H1335" s="4" t="n"/>
      <c r="L1335" s="2" t="n"/>
      <c r="N1335" s="2" t="n"/>
    </row>
    <row r="1336">
      <c r="D1336" s="2" t="n"/>
      <c r="E1336" s="3" t="n"/>
      <c r="F1336" s="3" t="n"/>
      <c r="G1336" s="3" t="n"/>
      <c r="H1336" s="4" t="n"/>
      <c r="L1336" s="2" t="n"/>
      <c r="N1336" s="2" t="n"/>
    </row>
    <row r="1337">
      <c r="D1337" s="2" t="n"/>
      <c r="E1337" s="3" t="n"/>
      <c r="F1337" s="3" t="n"/>
      <c r="G1337" s="3" t="n"/>
      <c r="H1337" s="4" t="n"/>
      <c r="L1337" s="2" t="n"/>
      <c r="N1337" s="2" t="n"/>
    </row>
    <row r="1338">
      <c r="D1338" s="2" t="n"/>
      <c r="E1338" s="3" t="n"/>
      <c r="F1338" s="3" t="n"/>
      <c r="G1338" s="3" t="n"/>
      <c r="H1338" s="4" t="n"/>
      <c r="L1338" s="2" t="n"/>
      <c r="N1338" s="2" t="n"/>
    </row>
    <row r="1339">
      <c r="D1339" s="2" t="n"/>
      <c r="E1339" s="3" t="n"/>
      <c r="F1339" s="3" t="n"/>
      <c r="G1339" s="3" t="n"/>
      <c r="H1339" s="4" t="n"/>
      <c r="L1339" s="2" t="n"/>
      <c r="N1339" s="2" t="n"/>
    </row>
    <row r="1340">
      <c r="D1340" s="2" t="n"/>
      <c r="E1340" s="3" t="n"/>
      <c r="F1340" s="3" t="n"/>
      <c r="G1340" s="3" t="n"/>
      <c r="H1340" s="4" t="n"/>
      <c r="L1340" s="2" t="n"/>
      <c r="N1340" s="2" t="n"/>
    </row>
    <row r="1341">
      <c r="D1341" s="2" t="n"/>
      <c r="E1341" s="3" t="n"/>
      <c r="F1341" s="3" t="n"/>
      <c r="G1341" s="3" t="n"/>
      <c r="H1341" s="4" t="n"/>
      <c r="L1341" s="2" t="n"/>
      <c r="N1341" s="2" t="n"/>
    </row>
    <row r="1342">
      <c r="D1342" s="2" t="n"/>
      <c r="E1342" s="3" t="n"/>
      <c r="F1342" s="3" t="n"/>
      <c r="G1342" s="3" t="n"/>
      <c r="H1342" s="4" t="n"/>
      <c r="L1342" s="2" t="n"/>
      <c r="N1342" s="2" t="n"/>
    </row>
    <row r="1343">
      <c r="D1343" s="2" t="n"/>
      <c r="E1343" s="3" t="n"/>
      <c r="F1343" s="3" t="n"/>
      <c r="G1343" s="3" t="n"/>
      <c r="H1343" s="4" t="n"/>
      <c r="L1343" s="2" t="n"/>
      <c r="N1343" s="2" t="n"/>
    </row>
    <row r="1344">
      <c r="D1344" s="2" t="n"/>
      <c r="E1344" s="3" t="n"/>
      <c r="F1344" s="3" t="n"/>
      <c r="G1344" s="3" t="n"/>
      <c r="H1344" s="4" t="n"/>
      <c r="L1344" s="2" t="n"/>
      <c r="N1344" s="2" t="n"/>
    </row>
    <row r="1345">
      <c r="D1345" s="2" t="n"/>
      <c r="E1345" s="3" t="n"/>
      <c r="F1345" s="3" t="n"/>
      <c r="G1345" s="3" t="n"/>
      <c r="H1345" s="4" t="n"/>
      <c r="L1345" s="2" t="n"/>
      <c r="N1345" s="2" t="n"/>
    </row>
    <row r="1346">
      <c r="D1346" s="2" t="n"/>
      <c r="E1346" s="3" t="n"/>
      <c r="F1346" s="3" t="n"/>
      <c r="G1346" s="3" t="n"/>
      <c r="H1346" s="4" t="n"/>
      <c r="L1346" s="2" t="n"/>
      <c r="N1346" s="2" t="n"/>
    </row>
    <row r="1347">
      <c r="D1347" s="2" t="n"/>
      <c r="E1347" s="3" t="n"/>
      <c r="F1347" s="3" t="n"/>
      <c r="G1347" s="3" t="n"/>
      <c r="H1347" s="4" t="n"/>
      <c r="L1347" s="2" t="n"/>
      <c r="N1347" s="2" t="n"/>
    </row>
    <row r="1348">
      <c r="D1348" s="2" t="n"/>
      <c r="E1348" s="3" t="n"/>
      <c r="F1348" s="3" t="n"/>
      <c r="G1348" s="3" t="n"/>
      <c r="H1348" s="4" t="n"/>
      <c r="L1348" s="2" t="n"/>
      <c r="N1348" s="2" t="n"/>
    </row>
    <row r="1349">
      <c r="D1349" s="2" t="n"/>
      <c r="E1349" s="3" t="n"/>
      <c r="F1349" s="3" t="n"/>
      <c r="G1349" s="3" t="n"/>
      <c r="H1349" s="4" t="n"/>
      <c r="L1349" s="2" t="n"/>
      <c r="N1349" s="2" t="n"/>
    </row>
    <row r="1350">
      <c r="D1350" s="2" t="n"/>
      <c r="E1350" s="3" t="n"/>
      <c r="F1350" s="3" t="n"/>
      <c r="G1350" s="3" t="n"/>
      <c r="H1350" s="4" t="n"/>
      <c r="L1350" s="2" t="n"/>
      <c r="N1350" s="2" t="n"/>
    </row>
    <row r="1351">
      <c r="D1351" s="2" t="n"/>
      <c r="E1351" s="3" t="n"/>
      <c r="F1351" s="3" t="n"/>
      <c r="G1351" s="3" t="n"/>
      <c r="H1351" s="4" t="n"/>
      <c r="L1351" s="2" t="n"/>
      <c r="N1351" s="2" t="n"/>
    </row>
    <row r="1352">
      <c r="D1352" s="2" t="n"/>
      <c r="E1352" s="3" t="n"/>
      <c r="F1352" s="3" t="n"/>
      <c r="G1352" s="3" t="n"/>
      <c r="H1352" s="4" t="n"/>
      <c r="L1352" s="2" t="n"/>
      <c r="N1352" s="2" t="n"/>
    </row>
    <row r="1353">
      <c r="D1353" s="2" t="n"/>
      <c r="E1353" s="3" t="n"/>
      <c r="F1353" s="3" t="n"/>
      <c r="G1353" s="3" t="n"/>
      <c r="H1353" s="4" t="n"/>
      <c r="L1353" s="2" t="n"/>
      <c r="N1353" s="2" t="n"/>
    </row>
    <row r="1354">
      <c r="D1354" s="2" t="n"/>
      <c r="E1354" s="3" t="n"/>
      <c r="F1354" s="3" t="n"/>
      <c r="G1354" s="3" t="n"/>
      <c r="H1354" s="4" t="n"/>
      <c r="L1354" s="2" t="n"/>
      <c r="N1354" s="2" t="n"/>
    </row>
    <row r="1355">
      <c r="D1355" s="2" t="n"/>
      <c r="E1355" s="3" t="n"/>
      <c r="F1355" s="3" t="n"/>
      <c r="G1355" s="3" t="n"/>
      <c r="H1355" s="4" t="n"/>
      <c r="L1355" s="2" t="n"/>
      <c r="N1355" s="2" t="n"/>
    </row>
    <row r="1356">
      <c r="D1356" s="2" t="n"/>
      <c r="E1356" s="3" t="n"/>
      <c r="F1356" s="3" t="n"/>
      <c r="G1356" s="3" t="n"/>
      <c r="H1356" s="4" t="n"/>
      <c r="L1356" s="2" t="n"/>
      <c r="N1356" s="2" t="n"/>
    </row>
    <row r="1357">
      <c r="D1357" s="2" t="n"/>
      <c r="E1357" s="3" t="n"/>
      <c r="F1357" s="3" t="n"/>
      <c r="G1357" s="3" t="n"/>
      <c r="H1357" s="4" t="n"/>
      <c r="L1357" s="2" t="n"/>
      <c r="N1357" s="2" t="n"/>
    </row>
    <row r="1358">
      <c r="D1358" s="2" t="n"/>
      <c r="E1358" s="3" t="n"/>
      <c r="F1358" s="3" t="n"/>
      <c r="G1358" s="3" t="n"/>
      <c r="H1358" s="4" t="n"/>
      <c r="L1358" s="2" t="n"/>
      <c r="N1358" s="2" t="n"/>
    </row>
    <row r="1359">
      <c r="D1359" s="2" t="n"/>
      <c r="E1359" s="3" t="n"/>
      <c r="F1359" s="3" t="n"/>
      <c r="G1359" s="3" t="n"/>
      <c r="H1359" s="4" t="n"/>
      <c r="L1359" s="2" t="n"/>
      <c r="N1359" s="2" t="n"/>
    </row>
    <row r="1360">
      <c r="D1360" s="2" t="n"/>
      <c r="E1360" s="3" t="n"/>
      <c r="F1360" s="3" t="n"/>
      <c r="G1360" s="3" t="n"/>
      <c r="H1360" s="4" t="n"/>
      <c r="L1360" s="2" t="n"/>
      <c r="N1360" s="2" t="n"/>
    </row>
    <row r="1361">
      <c r="D1361" s="2" t="n"/>
      <c r="E1361" s="3" t="n"/>
      <c r="F1361" s="3" t="n"/>
      <c r="G1361" s="3" t="n"/>
      <c r="H1361" s="4" t="n"/>
      <c r="L1361" s="2" t="n"/>
      <c r="N1361" s="2" t="n"/>
    </row>
    <row r="1362">
      <c r="D1362" s="2" t="n"/>
      <c r="E1362" s="3" t="n"/>
      <c r="F1362" s="3" t="n"/>
      <c r="G1362" s="3" t="n"/>
      <c r="H1362" s="4" t="n"/>
      <c r="L1362" s="2" t="n"/>
      <c r="N1362" s="2" t="n"/>
    </row>
    <row r="1363">
      <c r="D1363" s="2" t="n"/>
      <c r="E1363" s="3" t="n"/>
      <c r="F1363" s="3" t="n"/>
      <c r="G1363" s="3" t="n"/>
      <c r="H1363" s="4" t="n"/>
      <c r="L1363" s="2" t="n"/>
      <c r="N1363" s="2" t="n"/>
    </row>
    <row r="1364">
      <c r="D1364" s="2" t="n"/>
      <c r="E1364" s="3" t="n"/>
      <c r="F1364" s="3" t="n"/>
      <c r="G1364" s="3" t="n"/>
      <c r="H1364" s="4" t="n"/>
      <c r="L1364" s="2" t="n"/>
      <c r="N1364" s="2" t="n"/>
    </row>
    <row r="1365">
      <c r="D1365" s="2" t="n"/>
      <c r="E1365" s="3" t="n"/>
      <c r="F1365" s="3" t="n"/>
      <c r="G1365" s="3" t="n"/>
      <c r="H1365" s="4" t="n"/>
      <c r="L1365" s="2" t="n"/>
      <c r="N1365" s="2" t="n"/>
    </row>
    <row r="1366">
      <c r="D1366" s="2" t="n"/>
      <c r="E1366" s="3" t="n"/>
      <c r="F1366" s="3" t="n"/>
      <c r="G1366" s="3" t="n"/>
      <c r="H1366" s="4" t="n"/>
      <c r="L1366" s="2" t="n"/>
      <c r="N1366" s="2" t="n"/>
    </row>
    <row r="1367">
      <c r="D1367" s="2" t="n"/>
      <c r="E1367" s="3" t="n"/>
      <c r="F1367" s="3" t="n"/>
      <c r="G1367" s="3" t="n"/>
      <c r="H1367" s="4" t="n"/>
      <c r="L1367" s="2" t="n"/>
      <c r="N1367" s="2" t="n"/>
    </row>
    <row r="1368">
      <c r="D1368" s="2" t="n"/>
      <c r="E1368" s="3" t="n"/>
      <c r="F1368" s="3" t="n"/>
      <c r="G1368" s="3" t="n"/>
      <c r="H1368" s="4" t="n"/>
      <c r="L1368" s="2" t="n"/>
      <c r="N1368" s="2" t="n"/>
    </row>
    <row r="1369">
      <c r="D1369" s="2" t="n"/>
      <c r="E1369" s="3" t="n"/>
      <c r="F1369" s="3" t="n"/>
      <c r="G1369" s="3" t="n"/>
      <c r="H1369" s="4" t="n"/>
      <c r="L1369" s="2" t="n"/>
      <c r="N1369" s="2" t="n"/>
    </row>
    <row r="1370">
      <c r="D1370" s="2" t="n"/>
      <c r="E1370" s="3" t="n"/>
      <c r="F1370" s="3" t="n"/>
      <c r="G1370" s="3" t="n"/>
      <c r="H1370" s="4" t="n"/>
      <c r="L1370" s="2" t="n"/>
      <c r="N1370" s="2" t="n"/>
    </row>
    <row r="1371">
      <c r="D1371" s="2" t="n"/>
      <c r="E1371" s="3" t="n"/>
      <c r="F1371" s="3" t="n"/>
      <c r="G1371" s="3" t="n"/>
      <c r="H1371" s="4" t="n"/>
      <c r="L1371" s="2" t="n"/>
      <c r="N1371" s="2" t="n"/>
    </row>
    <row r="1372">
      <c r="D1372" s="2" t="n"/>
      <c r="E1372" s="3" t="n"/>
      <c r="F1372" s="3" t="n"/>
      <c r="G1372" s="3" t="n"/>
      <c r="H1372" s="4" t="n"/>
      <c r="L1372" s="2" t="n"/>
      <c r="N1372" s="2" t="n"/>
    </row>
    <row r="1373">
      <c r="D1373" s="2" t="n"/>
      <c r="E1373" s="3" t="n"/>
      <c r="F1373" s="3" t="n"/>
      <c r="G1373" s="3" t="n"/>
      <c r="H1373" s="4" t="n"/>
      <c r="L1373" s="2" t="n"/>
      <c r="N1373" s="2" t="n"/>
    </row>
    <row r="1374">
      <c r="D1374" s="2" t="n"/>
      <c r="E1374" s="3" t="n"/>
      <c r="F1374" s="3" t="n"/>
      <c r="G1374" s="3" t="n"/>
      <c r="H1374" s="4" t="n"/>
      <c r="L1374" s="2" t="n"/>
      <c r="N1374" s="2" t="n"/>
    </row>
    <row r="1375">
      <c r="D1375" s="2" t="n"/>
      <c r="E1375" s="3" t="n"/>
      <c r="F1375" s="3" t="n"/>
      <c r="G1375" s="3" t="n"/>
      <c r="H1375" s="4" t="n"/>
      <c r="L1375" s="2" t="n"/>
      <c r="N1375" s="2" t="n"/>
    </row>
    <row r="1376">
      <c r="D1376" s="2" t="n"/>
      <c r="E1376" s="3" t="n"/>
      <c r="F1376" s="3" t="n"/>
      <c r="G1376" s="3" t="n"/>
      <c r="H1376" s="4" t="n"/>
      <c r="L1376" s="2" t="n"/>
      <c r="N1376" s="2" t="n"/>
    </row>
    <row r="1377">
      <c r="D1377" s="2" t="n"/>
      <c r="E1377" s="3" t="n"/>
      <c r="F1377" s="3" t="n"/>
      <c r="G1377" s="3" t="n"/>
      <c r="H1377" s="4" t="n"/>
      <c r="L1377" s="2" t="n"/>
      <c r="N1377" s="2" t="n"/>
    </row>
    <row r="1378">
      <c r="D1378" s="2" t="n"/>
      <c r="E1378" s="3" t="n"/>
      <c r="F1378" s="3" t="n"/>
      <c r="G1378" s="3" t="n"/>
      <c r="H1378" s="4" t="n"/>
      <c r="L1378" s="2" t="n"/>
      <c r="N1378" s="2" t="n"/>
    </row>
    <row r="1379">
      <c r="D1379" s="2" t="n"/>
      <c r="E1379" s="3" t="n"/>
      <c r="F1379" s="3" t="n"/>
      <c r="G1379" s="3" t="n"/>
      <c r="H1379" s="4" t="n"/>
      <c r="L1379" s="2" t="n"/>
      <c r="N1379" s="2" t="n"/>
    </row>
    <row r="1380">
      <c r="D1380" s="2" t="n"/>
      <c r="E1380" s="3" t="n"/>
      <c r="F1380" s="3" t="n"/>
      <c r="G1380" s="3" t="n"/>
      <c r="H1380" s="4" t="n"/>
      <c r="L1380" s="2" t="n"/>
      <c r="N1380" s="2" t="n"/>
    </row>
    <row r="1381">
      <c r="D1381" s="2" t="n"/>
      <c r="E1381" s="3" t="n"/>
      <c r="F1381" s="3" t="n"/>
      <c r="G1381" s="3" t="n"/>
      <c r="H1381" s="4" t="n"/>
      <c r="L1381" s="2" t="n"/>
      <c r="N1381" s="2" t="n"/>
    </row>
    <row r="1382">
      <c r="D1382" s="2" t="n"/>
      <c r="E1382" s="3" t="n"/>
      <c r="F1382" s="3" t="n"/>
      <c r="G1382" s="3" t="n"/>
      <c r="H1382" s="4" t="n"/>
      <c r="L1382" s="2" t="n"/>
      <c r="N1382" s="2" t="n"/>
    </row>
    <row r="1383">
      <c r="D1383" s="2" t="n"/>
      <c r="E1383" s="3" t="n"/>
      <c r="F1383" s="3" t="n"/>
      <c r="G1383" s="3" t="n"/>
      <c r="H1383" s="4" t="n"/>
      <c r="L1383" s="2" t="n"/>
      <c r="N1383" s="2" t="n"/>
    </row>
    <row r="1384">
      <c r="D1384" s="2" t="n"/>
      <c r="E1384" s="3" t="n"/>
      <c r="F1384" s="3" t="n"/>
      <c r="G1384" s="3" t="n"/>
      <c r="H1384" s="4" t="n"/>
      <c r="L1384" s="2" t="n"/>
      <c r="N1384" s="2" t="n"/>
    </row>
    <row r="1385">
      <c r="D1385" s="2" t="n"/>
      <c r="E1385" s="3" t="n"/>
      <c r="F1385" s="3" t="n"/>
      <c r="G1385" s="3" t="n"/>
      <c r="H1385" s="4" t="n"/>
      <c r="L1385" s="2" t="n"/>
      <c r="N1385" s="2" t="n"/>
    </row>
    <row r="1386">
      <c r="D1386" s="2" t="n"/>
      <c r="E1386" s="3" t="n"/>
      <c r="F1386" s="3" t="n"/>
      <c r="G1386" s="3" t="n"/>
      <c r="H1386" s="4" t="n"/>
      <c r="L1386" s="2" t="n"/>
      <c r="N1386" s="2" t="n"/>
    </row>
    <row r="1387">
      <c r="D1387" s="2" t="n"/>
      <c r="E1387" s="3" t="n"/>
      <c r="F1387" s="3" t="n"/>
      <c r="G1387" s="3" t="n"/>
      <c r="H1387" s="4" t="n"/>
      <c r="L1387" s="2" t="n"/>
      <c r="N1387" s="2" t="n"/>
    </row>
    <row r="1388">
      <c r="D1388" s="2" t="n"/>
      <c r="E1388" s="3" t="n"/>
      <c r="F1388" s="3" t="n"/>
      <c r="G1388" s="3" t="n"/>
      <c r="H1388" s="4" t="n"/>
      <c r="L1388" s="2" t="n"/>
      <c r="N1388" s="2" t="n"/>
    </row>
    <row r="1389">
      <c r="D1389" s="2" t="n"/>
      <c r="E1389" s="3" t="n"/>
      <c r="F1389" s="3" t="n"/>
      <c r="G1389" s="3" t="n"/>
      <c r="H1389" s="4" t="n"/>
      <c r="L1389" s="2" t="n"/>
      <c r="N1389" s="2" t="n"/>
    </row>
    <row r="1390">
      <c r="D1390" s="2" t="n"/>
      <c r="E1390" s="3" t="n"/>
      <c r="F1390" s="3" t="n"/>
      <c r="G1390" s="3" t="n"/>
      <c r="H1390" s="4" t="n"/>
      <c r="L1390" s="2" t="n"/>
      <c r="N1390" s="2" t="n"/>
    </row>
    <row r="1391">
      <c r="D1391" s="2" t="n"/>
      <c r="E1391" s="3" t="n"/>
      <c r="F1391" s="3" t="n"/>
      <c r="G1391" s="3" t="n"/>
      <c r="H1391" s="4" t="n"/>
      <c r="L1391" s="2" t="n"/>
      <c r="N1391" s="2" t="n"/>
    </row>
    <row r="1392">
      <c r="D1392" s="2" t="n"/>
      <c r="E1392" s="3" t="n"/>
      <c r="F1392" s="3" t="n"/>
      <c r="G1392" s="3" t="n"/>
      <c r="H1392" s="4" t="n"/>
      <c r="L1392" s="2" t="n"/>
      <c r="N1392" s="2" t="n"/>
    </row>
    <row r="1393">
      <c r="D1393" s="2" t="n"/>
      <c r="E1393" s="3" t="n"/>
      <c r="F1393" s="3" t="n"/>
      <c r="G1393" s="3" t="n"/>
      <c r="H1393" s="4" t="n"/>
      <c r="L1393" s="2" t="n"/>
      <c r="N1393" s="2" t="n"/>
    </row>
    <row r="1394">
      <c r="D1394" s="2" t="n"/>
      <c r="E1394" s="3" t="n"/>
      <c r="F1394" s="3" t="n"/>
      <c r="G1394" s="3" t="n"/>
      <c r="H1394" s="4" t="n"/>
      <c r="L1394" s="2" t="n"/>
      <c r="N1394" s="2" t="n"/>
    </row>
    <row r="1395">
      <c r="D1395" s="2" t="n"/>
      <c r="E1395" s="3" t="n"/>
      <c r="F1395" s="3" t="n"/>
      <c r="G1395" s="3" t="n"/>
      <c r="H1395" s="4" t="n"/>
      <c r="L1395" s="2" t="n"/>
      <c r="N1395" s="2" t="n"/>
    </row>
    <row r="1396">
      <c r="D1396" s="2" t="n"/>
      <c r="E1396" s="3" t="n"/>
      <c r="F1396" s="3" t="n"/>
      <c r="G1396" s="3" t="n"/>
      <c r="H1396" s="4" t="n"/>
      <c r="L1396" s="2" t="n"/>
      <c r="N1396" s="2" t="n"/>
    </row>
    <row r="1397">
      <c r="D1397" s="2" t="n"/>
      <c r="E1397" s="3" t="n"/>
      <c r="F1397" s="3" t="n"/>
      <c r="G1397" s="3" t="n"/>
      <c r="H1397" s="4" t="n"/>
      <c r="L1397" s="2" t="n"/>
      <c r="N1397" s="2" t="n"/>
    </row>
    <row r="1398">
      <c r="D1398" s="2" t="n"/>
      <c r="E1398" s="3" t="n"/>
      <c r="F1398" s="3" t="n"/>
      <c r="G1398" s="3" t="n"/>
      <c r="H1398" s="4" t="n"/>
      <c r="L1398" s="2" t="n"/>
      <c r="N1398" s="2" t="n"/>
    </row>
    <row r="1399">
      <c r="D1399" s="2" t="n"/>
      <c r="E1399" s="3" t="n"/>
      <c r="F1399" s="3" t="n"/>
      <c r="G1399" s="3" t="n"/>
      <c r="H1399" s="4" t="n"/>
      <c r="L1399" s="2" t="n"/>
      <c r="N1399" s="2" t="n"/>
    </row>
    <row r="1400">
      <c r="D1400" s="2" t="n"/>
      <c r="E1400" s="3" t="n"/>
      <c r="F1400" s="3" t="n"/>
      <c r="G1400" s="3" t="n"/>
      <c r="H1400" s="4" t="n"/>
      <c r="L1400" s="2" t="n"/>
      <c r="N1400" s="2" t="n"/>
    </row>
    <row r="1401">
      <c r="D1401" s="2" t="n"/>
      <c r="E1401" s="3" t="n"/>
      <c r="F1401" s="3" t="n"/>
      <c r="G1401" s="3" t="n"/>
      <c r="H1401" s="4" t="n"/>
      <c r="L1401" s="2" t="n"/>
      <c r="N1401" s="2" t="n"/>
    </row>
    <row r="1402">
      <c r="D1402" s="2" t="n"/>
      <c r="E1402" s="3" t="n"/>
      <c r="F1402" s="3" t="n"/>
      <c r="G1402" s="3" t="n"/>
      <c r="H1402" s="4" t="n"/>
      <c r="L1402" s="2" t="n"/>
      <c r="N1402" s="2" t="n"/>
    </row>
    <row r="1403">
      <c r="D1403" s="2" t="n"/>
      <c r="E1403" s="3" t="n"/>
      <c r="F1403" s="3" t="n"/>
      <c r="G1403" s="3" t="n"/>
      <c r="H1403" s="4" t="n"/>
      <c r="L1403" s="2" t="n"/>
      <c r="N1403" s="2" t="n"/>
    </row>
    <row r="1404">
      <c r="D1404" s="2" t="n"/>
      <c r="E1404" s="3" t="n"/>
      <c r="F1404" s="3" t="n"/>
      <c r="G1404" s="3" t="n"/>
      <c r="H1404" s="4" t="n"/>
      <c r="L1404" s="2" t="n"/>
      <c r="N1404" s="2" t="n"/>
    </row>
    <row r="1405">
      <c r="D1405" s="2" t="n"/>
      <c r="E1405" s="3" t="n"/>
      <c r="F1405" s="3" t="n"/>
      <c r="G1405" s="3" t="n"/>
      <c r="H1405" s="4" t="n"/>
      <c r="L1405" s="2" t="n"/>
      <c r="N1405" s="2" t="n"/>
    </row>
    <row r="1406">
      <c r="D1406" s="2" t="n"/>
      <c r="E1406" s="3" t="n"/>
      <c r="F1406" s="3" t="n"/>
      <c r="G1406" s="3" t="n"/>
      <c r="H1406" s="4" t="n"/>
      <c r="L1406" s="2" t="n"/>
      <c r="N1406" s="2" t="n"/>
    </row>
    <row r="1407">
      <c r="D1407" s="2" t="n"/>
      <c r="E1407" s="3" t="n"/>
      <c r="F1407" s="3" t="n"/>
      <c r="G1407" s="3" t="n"/>
      <c r="H1407" s="4" t="n"/>
      <c r="L1407" s="2" t="n"/>
      <c r="N1407" s="2" t="n"/>
    </row>
    <row r="1408">
      <c r="D1408" s="2" t="n"/>
      <c r="E1408" s="3" t="n"/>
      <c r="F1408" s="3" t="n"/>
      <c r="G1408" s="3" t="n"/>
      <c r="H1408" s="4" t="n"/>
      <c r="L1408" s="2" t="n"/>
      <c r="N1408" s="2" t="n"/>
    </row>
    <row r="1409">
      <c r="D1409" s="2" t="n"/>
      <c r="E1409" s="3" t="n"/>
      <c r="F1409" s="3" t="n"/>
      <c r="G1409" s="3" t="n"/>
      <c r="H1409" s="4" t="n"/>
      <c r="L1409" s="2" t="n"/>
      <c r="N1409" s="2" t="n"/>
    </row>
    <row r="1410">
      <c r="D1410" s="2" t="n"/>
      <c r="E1410" s="3" t="n"/>
      <c r="F1410" s="3" t="n"/>
      <c r="G1410" s="3" t="n"/>
      <c r="H1410" s="4" t="n"/>
      <c r="L1410" s="2" t="n"/>
      <c r="N1410" s="2" t="n"/>
    </row>
    <row r="1411">
      <c r="D1411" s="2" t="n"/>
      <c r="E1411" s="3" t="n"/>
      <c r="F1411" s="3" t="n"/>
      <c r="G1411" s="3" t="n"/>
      <c r="H1411" s="4" t="n"/>
      <c r="L1411" s="2" t="n"/>
      <c r="N1411" s="2" t="n"/>
    </row>
    <row r="1412">
      <c r="D1412" s="2" t="n"/>
      <c r="E1412" s="3" t="n"/>
      <c r="F1412" s="3" t="n"/>
      <c r="G1412" s="3" t="n"/>
      <c r="H1412" s="4" t="n"/>
      <c r="L1412" s="2" t="n"/>
      <c r="N1412" s="2" t="n"/>
    </row>
    <row r="1413">
      <c r="D1413" s="2" t="n"/>
      <c r="E1413" s="3" t="n"/>
      <c r="F1413" s="3" t="n"/>
      <c r="G1413" s="3" t="n"/>
      <c r="H1413" s="4" t="n"/>
      <c r="L1413" s="2" t="n"/>
      <c r="N1413" s="2" t="n"/>
    </row>
    <row r="1414">
      <c r="D1414" s="2" t="n"/>
      <c r="E1414" s="3" t="n"/>
      <c r="F1414" s="3" t="n"/>
      <c r="G1414" s="3" t="n"/>
      <c r="H1414" s="4" t="n"/>
      <c r="L1414" s="2" t="n"/>
      <c r="N1414" s="2" t="n"/>
    </row>
    <row r="1415">
      <c r="D1415" s="2" t="n"/>
      <c r="E1415" s="3" t="n"/>
      <c r="F1415" s="3" t="n"/>
      <c r="G1415" s="3" t="n"/>
      <c r="H1415" s="4" t="n"/>
      <c r="L1415" s="2" t="n"/>
      <c r="N1415" s="2" t="n"/>
    </row>
    <row r="1416">
      <c r="D1416" s="2" t="n"/>
      <c r="E1416" s="3" t="n"/>
      <c r="F1416" s="3" t="n"/>
      <c r="G1416" s="3" t="n"/>
      <c r="H1416" s="4" t="n"/>
      <c r="L1416" s="2" t="n"/>
      <c r="N1416" s="2" t="n"/>
    </row>
    <row r="1417">
      <c r="D1417" s="2" t="n"/>
      <c r="E1417" s="3" t="n"/>
      <c r="F1417" s="3" t="n"/>
      <c r="G1417" s="3" t="n"/>
      <c r="H1417" s="4" t="n"/>
      <c r="L1417" s="2" t="n"/>
      <c r="N1417" s="2" t="n"/>
    </row>
    <row r="1418">
      <c r="D1418" s="2" t="n"/>
      <c r="E1418" s="3" t="n"/>
      <c r="F1418" s="3" t="n"/>
      <c r="G1418" s="3" t="n"/>
      <c r="H1418" s="4" t="n"/>
      <c r="L1418" s="2" t="n"/>
      <c r="N1418" s="2" t="n"/>
    </row>
    <row r="1419">
      <c r="D1419" s="2" t="n"/>
      <c r="E1419" s="3" t="n"/>
      <c r="F1419" s="3" t="n"/>
      <c r="G1419" s="3" t="n"/>
      <c r="H1419" s="4" t="n"/>
      <c r="L1419" s="2" t="n"/>
      <c r="N1419" s="2" t="n"/>
    </row>
    <row r="1420">
      <c r="D1420" s="2" t="n"/>
      <c r="E1420" s="3" t="n"/>
      <c r="F1420" s="3" t="n"/>
      <c r="G1420" s="3" t="n"/>
      <c r="H1420" s="4" t="n"/>
      <c r="L1420" s="2" t="n"/>
      <c r="N1420" s="2" t="n"/>
    </row>
    <row r="1421">
      <c r="D1421" s="2" t="n"/>
      <c r="E1421" s="3" t="n"/>
      <c r="F1421" s="3" t="n"/>
      <c r="G1421" s="3" t="n"/>
      <c r="H1421" s="4" t="n"/>
      <c r="L1421" s="2" t="n"/>
      <c r="N1421" s="2" t="n"/>
    </row>
    <row r="1422">
      <c r="D1422" s="2" t="n"/>
      <c r="E1422" s="3" t="n"/>
      <c r="F1422" s="3" t="n"/>
      <c r="G1422" s="3" t="n"/>
      <c r="H1422" s="4" t="n"/>
      <c r="L1422" s="2" t="n"/>
      <c r="N1422" s="2" t="n"/>
    </row>
    <row r="1423">
      <c r="D1423" s="2" t="n"/>
      <c r="E1423" s="3" t="n"/>
      <c r="F1423" s="3" t="n"/>
      <c r="G1423" s="3" t="n"/>
      <c r="H1423" s="4" t="n"/>
      <c r="L1423" s="2" t="n"/>
      <c r="N1423" s="2" t="n"/>
    </row>
    <row r="1424">
      <c r="D1424" s="2" t="n"/>
      <c r="E1424" s="3" t="n"/>
      <c r="F1424" s="3" t="n"/>
      <c r="G1424" s="3" t="n"/>
      <c r="H1424" s="4" t="n"/>
      <c r="L1424" s="2" t="n"/>
      <c r="N1424" s="2" t="n"/>
    </row>
    <row r="1425">
      <c r="D1425" s="2" t="n"/>
      <c r="E1425" s="3" t="n"/>
      <c r="F1425" s="3" t="n"/>
      <c r="G1425" s="3" t="n"/>
      <c r="H1425" s="4" t="n"/>
      <c r="L1425" s="2" t="n"/>
      <c r="N1425" s="2" t="n"/>
    </row>
    <row r="1426">
      <c r="D1426" s="2" t="n"/>
      <c r="E1426" s="3" t="n"/>
      <c r="F1426" s="3" t="n"/>
      <c r="G1426" s="3" t="n"/>
      <c r="H1426" s="4" t="n"/>
      <c r="L1426" s="2" t="n"/>
      <c r="N1426" s="2" t="n"/>
    </row>
    <row r="1427">
      <c r="D1427" s="2" t="n"/>
      <c r="E1427" s="3" t="n"/>
      <c r="F1427" s="3" t="n"/>
      <c r="G1427" s="3" t="n"/>
      <c r="H1427" s="4" t="n"/>
      <c r="L1427" s="2" t="n"/>
      <c r="N1427" s="2" t="n"/>
    </row>
    <row r="1428">
      <c r="D1428" s="2" t="n"/>
      <c r="E1428" s="3" t="n"/>
      <c r="F1428" s="3" t="n"/>
      <c r="G1428" s="3" t="n"/>
      <c r="H1428" s="4" t="n"/>
      <c r="L1428" s="2" t="n"/>
      <c r="N1428" s="2" t="n"/>
    </row>
    <row r="1429">
      <c r="D1429" s="2" t="n"/>
      <c r="E1429" s="3" t="n"/>
      <c r="F1429" s="3" t="n"/>
      <c r="G1429" s="3" t="n"/>
      <c r="H1429" s="4" t="n"/>
      <c r="L1429" s="2" t="n"/>
      <c r="N1429" s="2" t="n"/>
    </row>
    <row r="1430">
      <c r="D1430" s="2" t="n"/>
      <c r="E1430" s="3" t="n"/>
      <c r="F1430" s="3" t="n"/>
      <c r="G1430" s="3" t="n"/>
      <c r="H1430" s="4" t="n"/>
      <c r="L1430" s="2" t="n"/>
      <c r="N1430" s="2" t="n"/>
    </row>
    <row r="1431">
      <c r="D1431" s="2" t="n"/>
      <c r="E1431" s="3" t="n"/>
      <c r="F1431" s="3" t="n"/>
      <c r="G1431" s="3" t="n"/>
      <c r="H1431" s="4" t="n"/>
      <c r="L1431" s="2" t="n"/>
      <c r="N1431" s="2" t="n"/>
    </row>
    <row r="1432">
      <c r="D1432" s="2" t="n"/>
      <c r="E1432" s="3" t="n"/>
      <c r="F1432" s="3" t="n"/>
      <c r="G1432" s="3" t="n"/>
      <c r="H1432" s="4" t="n"/>
      <c r="L1432" s="2" t="n"/>
      <c r="N1432" s="2" t="n"/>
    </row>
    <row r="1433">
      <c r="D1433" s="2" t="n"/>
      <c r="E1433" s="3" t="n"/>
      <c r="F1433" s="3" t="n"/>
      <c r="G1433" s="3" t="n"/>
      <c r="H1433" s="4" t="n"/>
      <c r="L1433" s="2" t="n"/>
      <c r="N1433" s="2" t="n"/>
    </row>
    <row r="1434">
      <c r="D1434" s="2" t="n"/>
      <c r="E1434" s="3" t="n"/>
      <c r="F1434" s="3" t="n"/>
      <c r="G1434" s="3" t="n"/>
      <c r="H1434" s="4" t="n"/>
      <c r="L1434" s="2" t="n"/>
      <c r="N1434" s="2" t="n"/>
    </row>
    <row r="1435">
      <c r="D1435" s="2" t="n"/>
      <c r="E1435" s="3" t="n"/>
      <c r="F1435" s="3" t="n"/>
      <c r="G1435" s="3" t="n"/>
      <c r="H1435" s="4" t="n"/>
      <c r="L1435" s="2" t="n"/>
      <c r="N1435" s="2" t="n"/>
    </row>
    <row r="1436">
      <c r="D1436" s="2" t="n"/>
      <c r="E1436" s="3" t="n"/>
      <c r="F1436" s="3" t="n"/>
      <c r="G1436" s="3" t="n"/>
      <c r="H1436" s="4" t="n"/>
      <c r="L1436" s="2" t="n"/>
      <c r="N1436" s="2" t="n"/>
    </row>
    <row r="1437">
      <c r="D1437" s="2" t="n"/>
      <c r="E1437" s="3" t="n"/>
      <c r="F1437" s="3" t="n"/>
      <c r="G1437" s="3" t="n"/>
      <c r="H1437" s="4" t="n"/>
      <c r="L1437" s="2" t="n"/>
      <c r="N1437" s="2" t="n"/>
    </row>
    <row r="1438">
      <c r="D1438" s="2" t="n"/>
      <c r="E1438" s="3" t="n"/>
      <c r="F1438" s="3" t="n"/>
      <c r="G1438" s="3" t="n"/>
      <c r="H1438" s="4" t="n"/>
      <c r="L1438" s="2" t="n"/>
      <c r="N1438" s="2" t="n"/>
    </row>
    <row r="1439">
      <c r="D1439" s="2" t="n"/>
      <c r="E1439" s="3" t="n"/>
      <c r="F1439" s="3" t="n"/>
      <c r="G1439" s="3" t="n"/>
      <c r="H1439" s="4" t="n"/>
      <c r="L1439" s="2" t="n"/>
      <c r="N1439" s="2" t="n"/>
    </row>
    <row r="1440">
      <c r="D1440" s="2" t="n"/>
      <c r="E1440" s="3" t="n"/>
      <c r="F1440" s="3" t="n"/>
      <c r="G1440" s="3" t="n"/>
      <c r="H1440" s="4" t="n"/>
      <c r="L1440" s="2" t="n"/>
      <c r="N1440" s="2" t="n"/>
    </row>
    <row r="1441">
      <c r="D1441" s="2" t="n"/>
      <c r="E1441" s="3" t="n"/>
      <c r="F1441" s="3" t="n"/>
      <c r="G1441" s="3" t="n"/>
      <c r="H1441" s="4" t="n"/>
      <c r="L1441" s="2" t="n"/>
      <c r="N1441" s="2" t="n"/>
    </row>
    <row r="1442">
      <c r="D1442" s="2" t="n"/>
      <c r="E1442" s="3" t="n"/>
      <c r="F1442" s="3" t="n"/>
      <c r="G1442" s="3" t="n"/>
      <c r="H1442" s="4" t="n"/>
      <c r="L1442" s="2" t="n"/>
      <c r="N1442" s="2" t="n"/>
    </row>
    <row r="1443">
      <c r="D1443" s="2" t="n"/>
      <c r="E1443" s="3" t="n"/>
      <c r="F1443" s="3" t="n"/>
      <c r="G1443" s="3" t="n"/>
      <c r="H1443" s="4" t="n"/>
      <c r="L1443" s="2" t="n"/>
      <c r="N1443" s="2" t="n"/>
    </row>
    <row r="1444">
      <c r="D1444" s="2" t="n"/>
      <c r="E1444" s="3" t="n"/>
      <c r="F1444" s="3" t="n"/>
      <c r="G1444" s="3" t="n"/>
      <c r="H1444" s="4" t="n"/>
      <c r="L1444" s="2" t="n"/>
      <c r="N1444" s="2" t="n"/>
    </row>
    <row r="1445">
      <c r="D1445" s="2" t="n"/>
      <c r="E1445" s="3" t="n"/>
      <c r="F1445" s="3" t="n"/>
      <c r="G1445" s="3" t="n"/>
      <c r="H1445" s="4" t="n"/>
      <c r="L1445" s="2" t="n"/>
      <c r="N1445" s="2" t="n"/>
    </row>
    <row r="1446">
      <c r="D1446" s="2" t="n"/>
      <c r="E1446" s="3" t="n"/>
      <c r="F1446" s="3" t="n"/>
      <c r="G1446" s="3" t="n"/>
      <c r="H1446" s="4" t="n"/>
      <c r="L1446" s="2" t="n"/>
      <c r="N1446" s="2" t="n"/>
    </row>
    <row r="1447">
      <c r="D1447" s="2" t="n"/>
      <c r="E1447" s="3" t="n"/>
      <c r="F1447" s="3" t="n"/>
      <c r="G1447" s="3" t="n"/>
      <c r="H1447" s="4" t="n"/>
      <c r="L1447" s="2" t="n"/>
      <c r="N1447" s="2" t="n"/>
    </row>
    <row r="1448">
      <c r="D1448" s="2" t="n"/>
      <c r="E1448" s="3" t="n"/>
      <c r="F1448" s="3" t="n"/>
      <c r="G1448" s="3" t="n"/>
      <c r="H1448" s="4" t="n"/>
      <c r="L1448" s="2" t="n"/>
      <c r="N1448" s="2" t="n"/>
    </row>
    <row r="1449">
      <c r="D1449" s="2" t="n"/>
      <c r="E1449" s="3" t="n"/>
      <c r="F1449" s="3" t="n"/>
      <c r="G1449" s="3" t="n"/>
      <c r="H1449" s="4" t="n"/>
      <c r="L1449" s="2" t="n"/>
      <c r="N1449" s="2" t="n"/>
    </row>
    <row r="1450">
      <c r="D1450" s="2" t="n"/>
      <c r="E1450" s="3" t="n"/>
      <c r="F1450" s="3" t="n"/>
      <c r="G1450" s="3" t="n"/>
      <c r="H1450" s="4" t="n"/>
      <c r="L1450" s="2" t="n"/>
      <c r="N1450" s="2" t="n"/>
    </row>
    <row r="1451">
      <c r="D1451" s="2" t="n"/>
      <c r="E1451" s="3" t="n"/>
      <c r="F1451" s="3" t="n"/>
      <c r="G1451" s="3" t="n"/>
      <c r="H1451" s="4" t="n"/>
      <c r="L1451" s="2" t="n"/>
      <c r="N1451" s="2" t="n"/>
    </row>
    <row r="1452">
      <c r="D1452" s="2" t="n"/>
      <c r="E1452" s="3" t="n"/>
      <c r="F1452" s="3" t="n"/>
      <c r="G1452" s="3" t="n"/>
      <c r="H1452" s="4" t="n"/>
      <c r="L1452" s="2" t="n"/>
      <c r="N1452" s="2" t="n"/>
    </row>
    <row r="1453">
      <c r="D1453" s="2" t="n"/>
      <c r="E1453" s="3" t="n"/>
      <c r="F1453" s="3" t="n"/>
      <c r="G1453" s="3" t="n"/>
      <c r="H1453" s="4" t="n"/>
      <c r="L1453" s="2" t="n"/>
      <c r="N1453" s="2" t="n"/>
    </row>
    <row r="1454">
      <c r="D1454" s="2" t="n"/>
      <c r="E1454" s="3" t="n"/>
      <c r="F1454" s="3" t="n"/>
      <c r="G1454" s="3" t="n"/>
      <c r="H1454" s="4" t="n"/>
      <c r="L1454" s="2" t="n"/>
      <c r="N1454" s="2" t="n"/>
    </row>
    <row r="1455">
      <c r="D1455" s="2" t="n"/>
      <c r="E1455" s="3" t="n"/>
      <c r="F1455" s="3" t="n"/>
      <c r="G1455" s="3" t="n"/>
      <c r="H1455" s="4" t="n"/>
      <c r="L1455" s="2" t="n"/>
      <c r="N1455" s="2" t="n"/>
    </row>
    <row r="1456">
      <c r="D1456" s="2" t="n"/>
      <c r="E1456" s="3" t="n"/>
      <c r="F1456" s="3" t="n"/>
      <c r="G1456" s="3" t="n"/>
      <c r="H1456" s="4" t="n"/>
      <c r="L1456" s="2" t="n"/>
      <c r="N1456" s="2" t="n"/>
    </row>
    <row r="1457">
      <c r="D1457" s="2" t="n"/>
      <c r="E1457" s="3" t="n"/>
      <c r="F1457" s="3" t="n"/>
      <c r="G1457" s="3" t="n"/>
      <c r="H1457" s="4" t="n"/>
      <c r="L1457" s="2" t="n"/>
      <c r="N1457" s="2" t="n"/>
    </row>
    <row r="1458">
      <c r="D1458" s="2" t="n"/>
      <c r="E1458" s="3" t="n"/>
      <c r="F1458" s="3" t="n"/>
      <c r="G1458" s="3" t="n"/>
      <c r="H1458" s="4" t="n"/>
      <c r="L1458" s="2" t="n"/>
      <c r="N1458" s="2" t="n"/>
    </row>
    <row r="1459">
      <c r="D1459" s="2" t="n"/>
      <c r="E1459" s="3" t="n"/>
      <c r="F1459" s="3" t="n"/>
      <c r="G1459" s="3" t="n"/>
      <c r="H1459" s="4" t="n"/>
      <c r="L1459" s="2" t="n"/>
      <c r="N1459" s="2" t="n"/>
    </row>
    <row r="1460">
      <c r="D1460" s="2" t="n"/>
      <c r="E1460" s="3" t="n"/>
      <c r="F1460" s="3" t="n"/>
      <c r="G1460" s="3" t="n"/>
      <c r="H1460" s="4" t="n"/>
      <c r="L1460" s="2" t="n"/>
      <c r="N1460" s="2" t="n"/>
    </row>
    <row r="1461">
      <c r="D1461" s="2" t="n"/>
      <c r="E1461" s="3" t="n"/>
      <c r="F1461" s="3" t="n"/>
      <c r="G1461" s="3" t="n"/>
      <c r="H1461" s="4" t="n"/>
      <c r="L1461" s="2" t="n"/>
      <c r="N1461" s="2" t="n"/>
    </row>
    <row r="1462">
      <c r="D1462" s="2" t="n"/>
      <c r="E1462" s="3" t="n"/>
      <c r="F1462" s="3" t="n"/>
      <c r="G1462" s="3" t="n"/>
      <c r="H1462" s="4" t="n"/>
      <c r="L1462" s="2" t="n"/>
      <c r="N1462" s="2" t="n"/>
    </row>
    <row r="1463">
      <c r="D1463" s="2" t="n"/>
      <c r="E1463" s="3" t="n"/>
      <c r="F1463" s="3" t="n"/>
      <c r="G1463" s="3" t="n"/>
      <c r="H1463" s="4" t="n"/>
      <c r="L1463" s="2" t="n"/>
      <c r="N1463" s="2" t="n"/>
    </row>
    <row r="1464">
      <c r="D1464" s="2" t="n"/>
      <c r="E1464" s="3" t="n"/>
      <c r="F1464" s="3" t="n"/>
      <c r="G1464" s="3" t="n"/>
      <c r="H1464" s="4" t="n"/>
      <c r="L1464" s="2" t="n"/>
      <c r="N1464" s="2" t="n"/>
    </row>
    <row r="1465">
      <c r="D1465" s="2" t="n"/>
      <c r="E1465" s="3" t="n"/>
      <c r="F1465" s="3" t="n"/>
      <c r="G1465" s="3" t="n"/>
      <c r="H1465" s="4" t="n"/>
      <c r="L1465" s="2" t="n"/>
      <c r="N1465" s="2" t="n"/>
    </row>
    <row r="1466">
      <c r="D1466" s="2" t="n"/>
      <c r="E1466" s="3" t="n"/>
      <c r="F1466" s="3" t="n"/>
      <c r="G1466" s="3" t="n"/>
      <c r="H1466" s="4" t="n"/>
      <c r="L1466" s="2" t="n"/>
      <c r="N1466" s="2" t="n"/>
    </row>
    <row r="1467">
      <c r="D1467" s="2" t="n"/>
      <c r="E1467" s="3" t="n"/>
      <c r="F1467" s="3" t="n"/>
      <c r="G1467" s="3" t="n"/>
      <c r="H1467" s="4" t="n"/>
      <c r="L1467" s="2" t="n"/>
      <c r="N1467" s="2" t="n"/>
    </row>
    <row r="1468">
      <c r="D1468" s="2" t="n"/>
      <c r="E1468" s="3" t="n"/>
      <c r="F1468" s="3" t="n"/>
      <c r="G1468" s="3" t="n"/>
      <c r="H1468" s="4" t="n"/>
      <c r="L1468" s="2" t="n"/>
      <c r="N1468" s="2" t="n"/>
    </row>
    <row r="1469">
      <c r="D1469" s="2" t="n"/>
      <c r="E1469" s="3" t="n"/>
      <c r="F1469" s="3" t="n"/>
      <c r="G1469" s="3" t="n"/>
      <c r="H1469" s="4" t="n"/>
      <c r="L1469" s="2" t="n"/>
      <c r="N1469" s="2" t="n"/>
    </row>
    <row r="1470">
      <c r="D1470" s="2" t="n"/>
      <c r="E1470" s="3" t="n"/>
      <c r="F1470" s="3" t="n"/>
      <c r="G1470" s="3" t="n"/>
      <c r="H1470" s="4" t="n"/>
      <c r="L1470" s="2" t="n"/>
      <c r="N1470" s="2" t="n"/>
    </row>
    <row r="1471">
      <c r="D1471" s="2" t="n"/>
      <c r="E1471" s="3" t="n"/>
      <c r="F1471" s="3" t="n"/>
      <c r="G1471" s="3" t="n"/>
      <c r="H1471" s="4" t="n"/>
      <c r="L1471" s="2" t="n"/>
      <c r="N1471" s="2" t="n"/>
    </row>
    <row r="1472">
      <c r="D1472" s="2" t="n"/>
      <c r="E1472" s="3" t="n"/>
      <c r="F1472" s="3" t="n"/>
      <c r="G1472" s="3" t="n"/>
      <c r="H1472" s="4" t="n"/>
      <c r="L1472" s="2" t="n"/>
      <c r="N1472" s="2" t="n"/>
    </row>
    <row r="1473">
      <c r="D1473" s="2" t="n"/>
      <c r="E1473" s="3" t="n"/>
      <c r="F1473" s="3" t="n"/>
      <c r="G1473" s="3" t="n"/>
      <c r="H1473" s="4" t="n"/>
      <c r="L1473" s="2" t="n"/>
      <c r="N1473" s="2" t="n"/>
    </row>
    <row r="1474">
      <c r="D1474" s="2" t="n"/>
      <c r="E1474" s="3" t="n"/>
      <c r="F1474" s="3" t="n"/>
      <c r="G1474" s="3" t="n"/>
      <c r="H1474" s="4" t="n"/>
      <c r="L1474" s="2" t="n"/>
      <c r="N1474" s="2" t="n"/>
    </row>
    <row r="1475">
      <c r="D1475" s="2" t="n"/>
      <c r="E1475" s="3" t="n"/>
      <c r="F1475" s="3" t="n"/>
      <c r="G1475" s="3" t="n"/>
      <c r="H1475" s="4" t="n"/>
      <c r="L1475" s="2" t="n"/>
      <c r="N1475" s="2" t="n"/>
    </row>
    <row r="1476">
      <c r="D1476" s="2" t="n"/>
      <c r="E1476" s="3" t="n"/>
      <c r="F1476" s="3" t="n"/>
      <c r="G1476" s="3" t="n"/>
      <c r="H1476" s="4" t="n"/>
      <c r="L1476" s="2" t="n"/>
      <c r="N1476" s="2" t="n"/>
    </row>
    <row r="1477">
      <c r="D1477" s="2" t="n"/>
      <c r="E1477" s="3" t="n"/>
      <c r="F1477" s="3" t="n"/>
      <c r="G1477" s="3" t="n"/>
      <c r="H1477" s="4" t="n"/>
      <c r="L1477" s="2" t="n"/>
      <c r="N1477" s="2" t="n"/>
    </row>
    <row r="1478">
      <c r="D1478" s="2" t="n"/>
      <c r="E1478" s="3" t="n"/>
      <c r="F1478" s="3" t="n"/>
      <c r="G1478" s="3" t="n"/>
      <c r="H1478" s="4" t="n"/>
      <c r="L1478" s="2" t="n"/>
      <c r="N1478" s="2" t="n"/>
    </row>
    <row r="1479">
      <c r="D1479" s="2" t="n"/>
      <c r="E1479" s="3" t="n"/>
      <c r="F1479" s="3" t="n"/>
      <c r="G1479" s="3" t="n"/>
      <c r="H1479" s="4" t="n"/>
      <c r="L1479" s="2" t="n"/>
      <c r="N1479" s="2" t="n"/>
    </row>
    <row r="1480">
      <c r="D1480" s="2" t="n"/>
      <c r="E1480" s="3" t="n"/>
      <c r="F1480" s="3" t="n"/>
      <c r="G1480" s="3" t="n"/>
      <c r="H1480" s="4" t="n"/>
      <c r="L1480" s="2" t="n"/>
      <c r="N1480" s="2" t="n"/>
    </row>
    <row r="1481">
      <c r="D1481" s="2" t="n"/>
      <c r="E1481" s="3" t="n"/>
      <c r="F1481" s="3" t="n"/>
      <c r="G1481" s="3" t="n"/>
      <c r="H1481" s="4" t="n"/>
      <c r="L1481" s="2" t="n"/>
      <c r="N1481" s="2" t="n"/>
    </row>
    <row r="1482">
      <c r="D1482" s="2" t="n"/>
      <c r="E1482" s="3" t="n"/>
      <c r="F1482" s="3" t="n"/>
      <c r="G1482" s="3" t="n"/>
      <c r="H1482" s="4" t="n"/>
      <c r="L1482" s="2" t="n"/>
      <c r="N1482" s="2" t="n"/>
    </row>
    <row r="1483">
      <c r="D1483" s="2" t="n"/>
      <c r="E1483" s="3" t="n"/>
      <c r="F1483" s="3" t="n"/>
      <c r="G1483" s="3" t="n"/>
      <c r="H1483" s="4" t="n"/>
      <c r="L1483" s="2" t="n"/>
      <c r="N1483" s="2" t="n"/>
    </row>
    <row r="1484">
      <c r="D1484" s="2" t="n"/>
      <c r="E1484" s="3" t="n"/>
      <c r="F1484" s="3" t="n"/>
      <c r="G1484" s="3" t="n"/>
      <c r="H1484" s="4" t="n"/>
      <c r="L1484" s="2" t="n"/>
      <c r="N1484" s="2" t="n"/>
    </row>
    <row r="1485">
      <c r="D1485" s="2" t="n"/>
      <c r="E1485" s="3" t="n"/>
      <c r="F1485" s="3" t="n"/>
      <c r="G1485" s="3" t="n"/>
      <c r="H1485" s="4" t="n"/>
      <c r="L1485" s="2" t="n"/>
      <c r="N1485" s="2" t="n"/>
    </row>
    <row r="1486">
      <c r="D1486" s="2" t="n"/>
      <c r="E1486" s="3" t="n"/>
      <c r="F1486" s="3" t="n"/>
      <c r="G1486" s="3" t="n"/>
      <c r="H1486" s="4" t="n"/>
      <c r="L1486" s="2" t="n"/>
      <c r="N1486" s="2" t="n"/>
    </row>
    <row r="1487">
      <c r="D1487" s="2" t="n"/>
      <c r="E1487" s="3" t="n"/>
      <c r="F1487" s="3" t="n"/>
      <c r="G1487" s="3" t="n"/>
      <c r="H1487" s="4" t="n"/>
      <c r="L1487" s="2" t="n"/>
      <c r="N1487" s="2" t="n"/>
    </row>
    <row r="1488">
      <c r="D1488" s="2" t="n"/>
      <c r="E1488" s="3" t="n"/>
      <c r="F1488" s="3" t="n"/>
      <c r="G1488" s="3" t="n"/>
      <c r="H1488" s="4" t="n"/>
      <c r="L1488" s="2" t="n"/>
      <c r="N1488" s="2" t="n"/>
    </row>
    <row r="1489">
      <c r="D1489" s="2" t="n"/>
      <c r="E1489" s="3" t="n"/>
      <c r="F1489" s="3" t="n"/>
      <c r="G1489" s="3" t="n"/>
      <c r="H1489" s="4" t="n"/>
      <c r="L1489" s="2" t="n"/>
      <c r="N1489" s="2" t="n"/>
    </row>
    <row r="1490">
      <c r="D1490" s="2" t="n"/>
      <c r="E1490" s="3" t="n"/>
      <c r="F1490" s="3" t="n"/>
      <c r="G1490" s="3" t="n"/>
      <c r="H1490" s="4" t="n"/>
      <c r="L1490" s="2" t="n"/>
      <c r="N1490" s="2" t="n"/>
    </row>
    <row r="1491">
      <c r="D1491" s="2" t="n"/>
      <c r="E1491" s="3" t="n"/>
      <c r="F1491" s="3" t="n"/>
      <c r="G1491" s="3" t="n"/>
      <c r="H1491" s="4" t="n"/>
      <c r="L1491" s="2" t="n"/>
      <c r="N1491" s="2" t="n"/>
    </row>
    <row r="1492">
      <c r="D1492" s="2" t="n"/>
      <c r="E1492" s="3" t="n"/>
      <c r="F1492" s="3" t="n"/>
      <c r="G1492" s="3" t="n"/>
      <c r="H1492" s="4" t="n"/>
      <c r="L1492" s="2" t="n"/>
      <c r="N1492" s="2" t="n"/>
    </row>
    <row r="1493">
      <c r="D1493" s="2" t="n"/>
      <c r="E1493" s="3" t="n"/>
      <c r="F1493" s="3" t="n"/>
      <c r="G1493" s="3" t="n"/>
      <c r="H1493" s="4" t="n"/>
      <c r="L1493" s="2" t="n"/>
      <c r="N1493" s="2" t="n"/>
    </row>
    <row r="1494">
      <c r="D1494" s="2" t="n"/>
      <c r="E1494" s="3" t="n"/>
      <c r="F1494" s="3" t="n"/>
      <c r="G1494" s="3" t="n"/>
      <c r="H1494" s="4" t="n"/>
      <c r="L1494" s="2" t="n"/>
      <c r="N1494" s="2" t="n"/>
    </row>
    <row r="1495">
      <c r="D1495" s="2" t="n"/>
      <c r="E1495" s="3" t="n"/>
      <c r="F1495" s="3" t="n"/>
      <c r="G1495" s="3" t="n"/>
      <c r="H1495" s="4" t="n"/>
      <c r="L1495" s="2" t="n"/>
      <c r="N1495" s="2" t="n"/>
    </row>
    <row r="1496">
      <c r="D1496" s="2" t="n"/>
      <c r="E1496" s="3" t="n"/>
      <c r="F1496" s="3" t="n"/>
      <c r="G1496" s="3" t="n"/>
      <c r="H1496" s="4" t="n"/>
      <c r="L1496" s="2" t="n"/>
      <c r="N1496" s="2" t="n"/>
    </row>
    <row r="1497">
      <c r="D1497" s="2" t="n"/>
      <c r="E1497" s="3" t="n"/>
      <c r="F1497" s="3" t="n"/>
      <c r="G1497" s="3" t="n"/>
      <c r="H1497" s="4" t="n"/>
      <c r="L1497" s="2" t="n"/>
      <c r="N1497" s="2" t="n"/>
    </row>
    <row r="1498">
      <c r="D1498" s="2" t="n"/>
      <c r="E1498" s="3" t="n"/>
      <c r="F1498" s="3" t="n"/>
      <c r="G1498" s="3" t="n"/>
      <c r="H1498" s="4" t="n"/>
      <c r="L1498" s="2" t="n"/>
      <c r="N1498" s="2" t="n"/>
    </row>
    <row r="1499">
      <c r="D1499" s="2" t="n"/>
      <c r="E1499" s="3" t="n"/>
      <c r="F1499" s="3" t="n"/>
      <c r="G1499" s="3" t="n"/>
      <c r="H1499" s="4" t="n"/>
      <c r="L1499" s="2" t="n"/>
      <c r="N1499" s="2" t="n"/>
    </row>
    <row r="1500">
      <c r="D1500" s="2" t="n"/>
      <c r="E1500" s="3" t="n"/>
      <c r="F1500" s="3" t="n"/>
      <c r="G1500" s="3" t="n"/>
      <c r="H1500" s="4" t="n"/>
      <c r="L1500" s="2" t="n"/>
      <c r="N1500" s="2" t="n"/>
    </row>
    <row r="1501">
      <c r="D1501" s="2" t="n"/>
      <c r="E1501" s="3" t="n"/>
      <c r="F1501" s="3" t="n"/>
      <c r="G1501" s="3" t="n"/>
      <c r="H1501" s="4" t="n"/>
      <c r="L1501" s="2" t="n"/>
      <c r="N1501" s="2" t="n"/>
    </row>
    <row r="1502">
      <c r="D1502" s="2" t="n"/>
      <c r="E1502" s="3" t="n"/>
      <c r="F1502" s="3" t="n"/>
      <c r="G1502" s="3" t="n"/>
      <c r="H1502" s="4" t="n"/>
      <c r="L1502" s="2" t="n"/>
      <c r="N1502" s="2" t="n"/>
    </row>
    <row r="1503">
      <c r="D1503" s="2" t="n"/>
      <c r="E1503" s="3" t="n"/>
      <c r="F1503" s="3" t="n"/>
      <c r="G1503" s="3" t="n"/>
      <c r="H1503" s="4" t="n"/>
      <c r="L1503" s="2" t="n"/>
      <c r="N1503" s="2" t="n"/>
    </row>
    <row r="1504">
      <c r="D1504" s="2" t="n"/>
      <c r="E1504" s="3" t="n"/>
      <c r="F1504" s="3" t="n"/>
      <c r="G1504" s="3" t="n"/>
      <c r="H1504" s="4" t="n"/>
      <c r="L1504" s="2" t="n"/>
      <c r="N1504" s="2" t="n"/>
    </row>
    <row r="1505">
      <c r="D1505" s="2" t="n"/>
      <c r="E1505" s="3" t="n"/>
      <c r="F1505" s="3" t="n"/>
      <c r="G1505" s="3" t="n"/>
      <c r="H1505" s="4" t="n"/>
      <c r="L1505" s="2" t="n"/>
      <c r="N1505" s="2" t="n"/>
    </row>
    <row r="1506">
      <c r="D1506" s="2" t="n"/>
      <c r="E1506" s="3" t="n"/>
      <c r="F1506" s="3" t="n"/>
      <c r="G1506" s="3" t="n"/>
      <c r="H1506" s="4" t="n"/>
      <c r="L1506" s="2" t="n"/>
      <c r="N1506" s="2" t="n"/>
    </row>
    <row r="1507">
      <c r="D1507" s="2" t="n"/>
      <c r="E1507" s="3" t="n"/>
      <c r="F1507" s="3" t="n"/>
      <c r="G1507" s="3" t="n"/>
      <c r="H1507" s="4" t="n"/>
      <c r="L1507" s="2" t="n"/>
      <c r="N1507" s="2" t="n"/>
    </row>
    <row r="1508">
      <c r="D1508" s="2" t="n"/>
      <c r="E1508" s="3" t="n"/>
      <c r="F1508" s="3" t="n"/>
      <c r="G1508" s="3" t="n"/>
      <c r="H1508" s="4" t="n"/>
      <c r="L1508" s="2" t="n"/>
      <c r="N1508" s="2" t="n"/>
    </row>
    <row r="1509">
      <c r="D1509" s="2" t="n"/>
      <c r="E1509" s="3" t="n"/>
      <c r="F1509" s="3" t="n"/>
      <c r="G1509" s="3" t="n"/>
      <c r="H1509" s="4" t="n"/>
      <c r="L1509" s="2" t="n"/>
      <c r="N1509" s="2" t="n"/>
    </row>
    <row r="1510">
      <c r="D1510" s="2" t="n"/>
      <c r="E1510" s="3" t="n"/>
      <c r="F1510" s="3" t="n"/>
      <c r="G1510" s="3" t="n"/>
      <c r="H1510" s="4" t="n"/>
      <c r="L1510" s="2" t="n"/>
      <c r="N1510" s="2" t="n"/>
    </row>
    <row r="1511">
      <c r="D1511" s="2" t="n"/>
      <c r="E1511" s="3" t="n"/>
      <c r="F1511" s="3" t="n"/>
      <c r="G1511" s="3" t="n"/>
      <c r="H1511" s="4" t="n"/>
      <c r="L1511" s="2" t="n"/>
      <c r="N1511" s="2" t="n"/>
    </row>
    <row r="1512">
      <c r="D1512" s="2" t="n"/>
      <c r="E1512" s="3" t="n"/>
      <c r="F1512" s="3" t="n"/>
      <c r="G1512" s="3" t="n"/>
      <c r="H1512" s="4" t="n"/>
      <c r="L1512" s="2" t="n"/>
      <c r="N1512" s="2" t="n"/>
    </row>
    <row r="1513">
      <c r="D1513" s="2" t="n"/>
      <c r="E1513" s="3" t="n"/>
      <c r="F1513" s="3" t="n"/>
      <c r="G1513" s="3" t="n"/>
      <c r="H1513" s="4" t="n"/>
      <c r="L1513" s="2" t="n"/>
      <c r="N1513" s="2" t="n"/>
    </row>
    <row r="1514">
      <c r="D1514" s="2" t="n"/>
      <c r="E1514" s="3" t="n"/>
      <c r="F1514" s="3" t="n"/>
      <c r="G1514" s="3" t="n"/>
      <c r="H1514" s="4" t="n"/>
      <c r="L1514" s="2" t="n"/>
      <c r="N1514" s="2" t="n"/>
    </row>
    <row r="1515">
      <c r="D1515" s="2" t="n"/>
      <c r="E1515" s="3" t="n"/>
      <c r="F1515" s="3" t="n"/>
      <c r="G1515" s="3" t="n"/>
      <c r="H1515" s="4" t="n"/>
      <c r="L1515" s="2" t="n"/>
      <c r="N1515" s="2" t="n"/>
    </row>
    <row r="1516">
      <c r="D1516" s="2" t="n"/>
      <c r="E1516" s="3" t="n"/>
      <c r="F1516" s="3" t="n"/>
      <c r="G1516" s="3" t="n"/>
      <c r="H1516" s="4" t="n"/>
      <c r="L1516" s="2" t="n"/>
      <c r="N1516" s="2" t="n"/>
    </row>
    <row r="1517">
      <c r="D1517" s="2" t="n"/>
      <c r="E1517" s="3" t="n"/>
      <c r="F1517" s="3" t="n"/>
      <c r="G1517" s="3" t="n"/>
      <c r="H1517" s="4" t="n"/>
      <c r="L1517" s="2" t="n"/>
      <c r="N1517" s="2" t="n"/>
    </row>
    <row r="1518">
      <c r="D1518" s="2" t="n"/>
      <c r="E1518" s="3" t="n"/>
      <c r="F1518" s="3" t="n"/>
      <c r="G1518" s="3" t="n"/>
      <c r="H1518" s="4" t="n"/>
      <c r="L1518" s="2" t="n"/>
      <c r="N1518" s="2" t="n"/>
    </row>
    <row r="1519">
      <c r="D1519" s="2" t="n"/>
      <c r="E1519" s="3" t="n"/>
      <c r="F1519" s="3" t="n"/>
      <c r="G1519" s="3" t="n"/>
      <c r="H1519" s="4" t="n"/>
      <c r="L1519" s="2" t="n"/>
      <c r="N1519" s="2" t="n"/>
    </row>
    <row r="1520">
      <c r="D1520" s="2" t="n"/>
      <c r="E1520" s="3" t="n"/>
      <c r="F1520" s="3" t="n"/>
      <c r="G1520" s="3" t="n"/>
      <c r="H1520" s="4" t="n"/>
      <c r="L1520" s="2" t="n"/>
      <c r="N1520" s="2" t="n"/>
    </row>
    <row r="1521">
      <c r="D1521" s="2" t="n"/>
      <c r="E1521" s="3" t="n"/>
      <c r="F1521" s="3" t="n"/>
      <c r="G1521" s="3" t="n"/>
      <c r="H1521" s="4" t="n"/>
      <c r="L1521" s="2" t="n"/>
      <c r="N1521" s="2" t="n"/>
    </row>
    <row r="1522">
      <c r="D1522" s="2" t="n"/>
      <c r="E1522" s="3" t="n"/>
      <c r="F1522" s="3" t="n"/>
      <c r="G1522" s="3" t="n"/>
      <c r="H1522" s="4" t="n"/>
      <c r="L1522" s="2" t="n"/>
      <c r="N1522" s="2" t="n"/>
    </row>
    <row r="1523">
      <c r="D1523" s="2" t="n"/>
      <c r="E1523" s="3" t="n"/>
      <c r="F1523" s="3" t="n"/>
      <c r="G1523" s="3" t="n"/>
      <c r="H1523" s="4" t="n"/>
      <c r="L1523" s="2" t="n"/>
      <c r="N1523" s="2" t="n"/>
    </row>
    <row r="1524">
      <c r="D1524" s="2" t="n"/>
      <c r="E1524" s="3" t="n"/>
      <c r="F1524" s="3" t="n"/>
      <c r="G1524" s="3" t="n"/>
      <c r="H1524" s="4" t="n"/>
      <c r="L1524" s="2" t="n"/>
      <c r="N1524" s="2" t="n"/>
    </row>
    <row r="1525">
      <c r="D1525" s="2" t="n"/>
      <c r="E1525" s="3" t="n"/>
      <c r="F1525" s="3" t="n"/>
      <c r="G1525" s="3" t="n"/>
      <c r="H1525" s="4" t="n"/>
      <c r="L1525" s="2" t="n"/>
      <c r="N1525" s="2" t="n"/>
    </row>
    <row r="1526">
      <c r="D1526" s="2" t="n"/>
      <c r="E1526" s="3" t="n"/>
      <c r="F1526" s="3" t="n"/>
      <c r="G1526" s="3" t="n"/>
      <c r="H1526" s="4" t="n"/>
      <c r="L1526" s="2" t="n"/>
      <c r="N1526" s="2" t="n"/>
    </row>
    <row r="1527">
      <c r="D1527" s="2" t="n"/>
      <c r="E1527" s="3" t="n"/>
      <c r="F1527" s="3" t="n"/>
      <c r="G1527" s="3" t="n"/>
      <c r="H1527" s="4" t="n"/>
      <c r="L1527" s="2" t="n"/>
      <c r="N1527" s="2" t="n"/>
    </row>
    <row r="1528">
      <c r="D1528" s="2" t="n"/>
      <c r="E1528" s="3" t="n"/>
      <c r="F1528" s="3" t="n"/>
      <c r="G1528" s="3" t="n"/>
      <c r="H1528" s="4" t="n"/>
      <c r="L1528" s="2" t="n"/>
      <c r="N1528" s="2" t="n"/>
    </row>
    <row r="1529">
      <c r="D1529" s="2" t="n"/>
      <c r="E1529" s="3" t="n"/>
      <c r="F1529" s="3" t="n"/>
      <c r="G1529" s="3" t="n"/>
      <c r="H1529" s="4" t="n"/>
      <c r="L1529" s="2" t="n"/>
      <c r="N1529" s="2" t="n"/>
    </row>
    <row r="1530">
      <c r="D1530" s="2" t="n"/>
      <c r="E1530" s="3" t="n"/>
      <c r="F1530" s="3" t="n"/>
      <c r="G1530" s="3" t="n"/>
      <c r="H1530" s="4" t="n"/>
      <c r="L1530" s="2" t="n"/>
      <c r="N1530" s="2" t="n"/>
    </row>
    <row r="1531">
      <c r="D1531" s="2" t="n"/>
      <c r="E1531" s="3" t="n"/>
      <c r="F1531" s="3" t="n"/>
      <c r="G1531" s="3" t="n"/>
      <c r="H1531" s="4" t="n"/>
      <c r="L1531" s="2" t="n"/>
      <c r="N1531" s="2" t="n"/>
    </row>
    <row r="1532">
      <c r="D1532" s="2" t="n"/>
      <c r="E1532" s="3" t="n"/>
      <c r="F1532" s="3" t="n"/>
      <c r="G1532" s="3" t="n"/>
      <c r="H1532" s="4" t="n"/>
      <c r="L1532" s="2" t="n"/>
      <c r="N1532" s="2" t="n"/>
    </row>
    <row r="1533">
      <c r="D1533" s="2" t="n"/>
      <c r="E1533" s="3" t="n"/>
      <c r="F1533" s="3" t="n"/>
      <c r="G1533" s="3" t="n"/>
      <c r="H1533" s="4" t="n"/>
      <c r="L1533" s="2" t="n"/>
      <c r="N1533" s="2" t="n"/>
    </row>
    <row r="1534">
      <c r="D1534" s="2" t="n"/>
      <c r="E1534" s="3" t="n"/>
      <c r="F1534" s="3" t="n"/>
      <c r="G1534" s="3" t="n"/>
      <c r="H1534" s="4" t="n"/>
      <c r="L1534" s="2" t="n"/>
      <c r="N1534" s="2" t="n"/>
    </row>
    <row r="1535">
      <c r="D1535" s="2" t="n"/>
      <c r="E1535" s="3" t="n"/>
      <c r="F1535" s="3" t="n"/>
      <c r="G1535" s="3" t="n"/>
      <c r="H1535" s="4" t="n"/>
      <c r="L1535" s="2" t="n"/>
      <c r="N1535" s="2" t="n"/>
    </row>
    <row r="1536">
      <c r="D1536" s="2" t="n"/>
      <c r="E1536" s="3" t="n"/>
      <c r="F1536" s="3" t="n"/>
      <c r="G1536" s="3" t="n"/>
      <c r="H1536" s="4" t="n"/>
      <c r="L1536" s="2" t="n"/>
      <c r="N1536" s="2" t="n"/>
    </row>
    <row r="1537">
      <c r="D1537" s="2" t="n"/>
      <c r="E1537" s="3" t="n"/>
      <c r="F1537" s="3" t="n"/>
      <c r="G1537" s="3" t="n"/>
      <c r="H1537" s="4" t="n"/>
      <c r="L1537" s="2" t="n"/>
      <c r="N1537" s="2" t="n"/>
    </row>
    <row r="1538">
      <c r="D1538" s="2" t="n"/>
      <c r="E1538" s="3" t="n"/>
      <c r="F1538" s="3" t="n"/>
      <c r="G1538" s="3" t="n"/>
      <c r="H1538" s="4" t="n"/>
      <c r="L1538" s="2" t="n"/>
      <c r="N1538" s="2" t="n"/>
    </row>
    <row r="1539">
      <c r="D1539" s="2" t="n"/>
      <c r="E1539" s="3" t="n"/>
      <c r="F1539" s="3" t="n"/>
      <c r="G1539" s="3" t="n"/>
      <c r="H1539" s="4" t="n"/>
      <c r="L1539" s="2" t="n"/>
      <c r="N1539" s="2" t="n"/>
    </row>
    <row r="1540">
      <c r="D1540" s="2" t="n"/>
      <c r="E1540" s="3" t="n"/>
      <c r="F1540" s="3" t="n"/>
      <c r="G1540" s="3" t="n"/>
      <c r="H1540" s="4" t="n"/>
      <c r="L1540" s="2" t="n"/>
      <c r="N1540" s="2" t="n"/>
    </row>
    <row r="1541">
      <c r="D1541" s="2" t="n"/>
      <c r="E1541" s="3" t="n"/>
      <c r="F1541" s="3" t="n"/>
      <c r="G1541" s="3" t="n"/>
      <c r="H1541" s="4" t="n"/>
      <c r="L1541" s="2" t="n"/>
      <c r="N1541" s="2" t="n"/>
    </row>
    <row r="1542">
      <c r="D1542" s="2" t="n"/>
      <c r="E1542" s="3" t="n"/>
      <c r="F1542" s="3" t="n"/>
      <c r="G1542" s="3" t="n"/>
      <c r="H1542" s="4" t="n"/>
      <c r="L1542" s="2" t="n"/>
      <c r="N1542" s="2" t="n"/>
    </row>
    <row r="1543">
      <c r="D1543" s="2" t="n"/>
      <c r="E1543" s="3" t="n"/>
      <c r="F1543" s="3" t="n"/>
      <c r="G1543" s="3" t="n"/>
      <c r="H1543" s="4" t="n"/>
      <c r="L1543" s="2" t="n"/>
      <c r="N1543" s="2" t="n"/>
    </row>
    <row r="1544">
      <c r="D1544" s="2" t="n"/>
      <c r="E1544" s="3" t="n"/>
      <c r="F1544" s="3" t="n"/>
      <c r="G1544" s="3" t="n"/>
      <c r="H1544" s="4" t="n"/>
      <c r="L1544" s="2" t="n"/>
      <c r="N1544" s="2" t="n"/>
    </row>
    <row r="1545">
      <c r="D1545" s="2" t="n"/>
      <c r="E1545" s="3" t="n"/>
      <c r="F1545" s="3" t="n"/>
      <c r="G1545" s="3" t="n"/>
      <c r="H1545" s="4" t="n"/>
      <c r="L1545" s="2" t="n"/>
      <c r="N1545" s="2" t="n"/>
    </row>
    <row r="1546">
      <c r="D1546" s="2" t="n"/>
      <c r="E1546" s="3" t="n"/>
      <c r="F1546" s="3" t="n"/>
      <c r="G1546" s="3" t="n"/>
      <c r="H1546" s="4" t="n"/>
      <c r="L1546" s="2" t="n"/>
      <c r="N1546" s="2" t="n"/>
    </row>
    <row r="1547">
      <c r="D1547" s="2" t="n"/>
      <c r="E1547" s="3" t="n"/>
      <c r="F1547" s="3" t="n"/>
      <c r="G1547" s="3" t="n"/>
      <c r="H1547" s="4" t="n"/>
      <c r="L1547" s="2" t="n"/>
      <c r="N1547" s="2" t="n"/>
    </row>
    <row r="1548">
      <c r="D1548" s="2" t="n"/>
      <c r="E1548" s="3" t="n"/>
      <c r="F1548" s="3" t="n"/>
      <c r="G1548" s="3" t="n"/>
      <c r="H1548" s="4" t="n"/>
      <c r="L1548" s="2" t="n"/>
      <c r="N1548" s="2" t="n"/>
    </row>
    <row r="1549">
      <c r="D1549" s="2" t="n"/>
      <c r="E1549" s="3" t="n"/>
      <c r="F1549" s="3" t="n"/>
      <c r="G1549" s="3" t="n"/>
      <c r="H1549" s="4" t="n"/>
      <c r="L1549" s="2" t="n"/>
      <c r="N1549" s="2" t="n"/>
    </row>
    <row r="1550">
      <c r="D1550" s="2" t="n"/>
      <c r="E1550" s="3" t="n"/>
      <c r="F1550" s="3" t="n"/>
      <c r="G1550" s="3" t="n"/>
      <c r="H1550" s="4" t="n"/>
      <c r="L1550" s="2" t="n"/>
      <c r="N1550" s="2" t="n"/>
    </row>
    <row r="1551">
      <c r="D1551" s="2" t="n"/>
      <c r="E1551" s="3" t="n"/>
      <c r="F1551" s="3" t="n"/>
      <c r="G1551" s="3" t="n"/>
      <c r="H1551" s="4" t="n"/>
      <c r="L1551" s="2" t="n"/>
      <c r="N1551" s="2" t="n"/>
    </row>
    <row r="1552">
      <c r="D1552" s="2" t="n"/>
      <c r="E1552" s="3" t="n"/>
      <c r="F1552" s="3" t="n"/>
      <c r="G1552" s="3" t="n"/>
      <c r="H1552" s="4" t="n"/>
      <c r="L1552" s="2" t="n"/>
      <c r="N1552" s="2" t="n"/>
    </row>
    <row r="1553">
      <c r="D1553" s="2" t="n"/>
      <c r="E1553" s="3" t="n"/>
      <c r="F1553" s="3" t="n"/>
      <c r="G1553" s="3" t="n"/>
      <c r="H1553" s="4" t="n"/>
      <c r="L1553" s="2" t="n"/>
      <c r="N1553" s="2" t="n"/>
    </row>
    <row r="1554">
      <c r="D1554" s="2" t="n"/>
      <c r="E1554" s="3" t="n"/>
      <c r="F1554" s="3" t="n"/>
      <c r="G1554" s="3" t="n"/>
      <c r="H1554" s="4" t="n"/>
      <c r="L1554" s="2" t="n"/>
      <c r="N1554" s="2" t="n"/>
    </row>
    <row r="1555">
      <c r="D1555" s="2" t="n"/>
      <c r="E1555" s="3" t="n"/>
      <c r="F1555" s="3" t="n"/>
      <c r="G1555" s="3" t="n"/>
      <c r="H1555" s="4" t="n"/>
      <c r="L1555" s="2" t="n"/>
      <c r="N1555" s="2" t="n"/>
    </row>
    <row r="1556">
      <c r="D1556" s="2" t="n"/>
      <c r="E1556" s="3" t="n"/>
      <c r="F1556" s="3" t="n"/>
      <c r="G1556" s="3" t="n"/>
      <c r="H1556" s="4" t="n"/>
      <c r="L1556" s="2" t="n"/>
      <c r="N1556" s="2" t="n"/>
    </row>
    <row r="1557">
      <c r="D1557" s="2" t="n"/>
      <c r="E1557" s="3" t="n"/>
      <c r="F1557" s="3" t="n"/>
      <c r="G1557" s="3" t="n"/>
      <c r="H1557" s="4" t="n"/>
      <c r="L1557" s="2" t="n"/>
      <c r="N1557" s="2" t="n"/>
    </row>
    <row r="1558">
      <c r="D1558" s="2" t="n"/>
      <c r="E1558" s="3" t="n"/>
      <c r="F1558" s="3" t="n"/>
      <c r="G1558" s="3" t="n"/>
      <c r="H1558" s="4" t="n"/>
      <c r="L1558" s="2" t="n"/>
      <c r="N1558" s="2" t="n"/>
    </row>
    <row r="1559">
      <c r="D1559" s="2" t="n"/>
      <c r="E1559" s="3" t="n"/>
      <c r="F1559" s="3" t="n"/>
      <c r="G1559" s="3" t="n"/>
      <c r="H1559" s="4" t="n"/>
      <c r="L1559" s="2" t="n"/>
      <c r="N1559" s="2" t="n"/>
    </row>
    <row r="1560">
      <c r="D1560" s="2" t="n"/>
      <c r="E1560" s="3" t="n"/>
      <c r="F1560" s="3" t="n"/>
      <c r="G1560" s="3" t="n"/>
      <c r="H1560" s="4" t="n"/>
      <c r="L1560" s="2" t="n"/>
      <c r="N1560" s="2" t="n"/>
    </row>
    <row r="1561">
      <c r="D1561" s="2" t="n"/>
      <c r="E1561" s="3" t="n"/>
      <c r="F1561" s="3" t="n"/>
      <c r="G1561" s="3" t="n"/>
      <c r="H1561" s="4" t="n"/>
      <c r="L1561" s="2" t="n"/>
      <c r="N1561" s="2" t="n"/>
    </row>
    <row r="1562">
      <c r="D1562" s="2" t="n"/>
      <c r="E1562" s="3" t="n"/>
      <c r="F1562" s="3" t="n"/>
      <c r="G1562" s="3" t="n"/>
      <c r="H1562" s="4" t="n"/>
      <c r="L1562" s="2" t="n"/>
      <c r="N1562" s="2" t="n"/>
    </row>
    <row r="1563">
      <c r="D1563" s="2" t="n"/>
      <c r="E1563" s="3" t="n"/>
      <c r="F1563" s="3" t="n"/>
      <c r="G1563" s="3" t="n"/>
      <c r="H1563" s="4" t="n"/>
      <c r="L1563" s="2" t="n"/>
      <c r="N1563" s="2" t="n"/>
    </row>
    <row r="1564">
      <c r="D1564" s="2" t="n"/>
      <c r="E1564" s="3" t="n"/>
      <c r="F1564" s="3" t="n"/>
      <c r="G1564" s="3" t="n"/>
      <c r="H1564" s="4" t="n"/>
      <c r="L1564" s="2" t="n"/>
      <c r="N1564" s="2" t="n"/>
    </row>
    <row r="1565">
      <c r="D1565" s="2" t="n"/>
      <c r="E1565" s="3" t="n"/>
      <c r="F1565" s="3" t="n"/>
      <c r="G1565" s="3" t="n"/>
      <c r="H1565" s="4" t="n"/>
      <c r="L1565" s="2" t="n"/>
      <c r="N1565" s="2" t="n"/>
    </row>
    <row r="1566">
      <c r="D1566" s="2" t="n"/>
      <c r="E1566" s="3" t="n"/>
      <c r="F1566" s="3" t="n"/>
      <c r="G1566" s="3" t="n"/>
      <c r="H1566" s="4" t="n"/>
      <c r="L1566" s="2" t="n"/>
      <c r="N1566" s="2" t="n"/>
    </row>
    <row r="1567">
      <c r="D1567" s="2" t="n"/>
      <c r="E1567" s="3" t="n"/>
      <c r="F1567" s="3" t="n"/>
      <c r="G1567" s="3" t="n"/>
      <c r="H1567" s="4" t="n"/>
      <c r="L1567" s="2" t="n"/>
      <c r="N1567" s="2" t="n"/>
    </row>
    <row r="1568">
      <c r="D1568" s="2" t="n"/>
      <c r="E1568" s="3" t="n"/>
      <c r="F1568" s="3" t="n"/>
      <c r="G1568" s="3" t="n"/>
      <c r="H1568" s="4" t="n"/>
      <c r="L1568" s="2" t="n"/>
      <c r="N1568" s="2" t="n"/>
    </row>
    <row r="1569">
      <c r="D1569" s="2" t="n"/>
      <c r="E1569" s="3" t="n"/>
      <c r="F1569" s="3" t="n"/>
      <c r="G1569" s="3" t="n"/>
      <c r="H1569" s="4" t="n"/>
      <c r="L1569" s="2" t="n"/>
      <c r="N1569" s="2" t="n"/>
    </row>
    <row r="1570">
      <c r="D1570" s="2" t="n"/>
      <c r="E1570" s="3" t="n"/>
      <c r="F1570" s="3" t="n"/>
      <c r="G1570" s="3" t="n"/>
      <c r="H1570" s="4" t="n"/>
      <c r="L1570" s="2" t="n"/>
      <c r="N1570" s="2" t="n"/>
    </row>
    <row r="1571">
      <c r="D1571" s="2" t="n"/>
      <c r="E1571" s="3" t="n"/>
      <c r="F1571" s="3" t="n"/>
      <c r="G1571" s="3" t="n"/>
      <c r="H1571" s="4" t="n"/>
      <c r="L1571" s="2" t="n"/>
      <c r="N1571" s="2" t="n"/>
    </row>
    <row r="1572">
      <c r="D1572" s="2" t="n"/>
      <c r="E1572" s="3" t="n"/>
      <c r="F1572" s="3" t="n"/>
      <c r="G1572" s="3" t="n"/>
      <c r="H1572" s="4" t="n"/>
      <c r="L1572" s="2" t="n"/>
      <c r="N1572" s="2" t="n"/>
    </row>
    <row r="1573">
      <c r="D1573" s="2" t="n"/>
      <c r="E1573" s="3" t="n"/>
      <c r="F1573" s="3" t="n"/>
      <c r="G1573" s="3" t="n"/>
      <c r="H1573" s="4" t="n"/>
      <c r="L1573" s="2" t="n"/>
      <c r="N1573" s="2" t="n"/>
    </row>
    <row r="1574">
      <c r="D1574" s="2" t="n"/>
      <c r="E1574" s="3" t="n"/>
      <c r="F1574" s="3" t="n"/>
      <c r="G1574" s="3" t="n"/>
      <c r="H1574" s="4" t="n"/>
      <c r="L1574" s="2" t="n"/>
      <c r="N1574" s="2" t="n"/>
    </row>
    <row r="1575">
      <c r="D1575" s="2" t="n"/>
      <c r="E1575" s="3" t="n"/>
      <c r="F1575" s="3" t="n"/>
      <c r="G1575" s="3" t="n"/>
      <c r="H1575" s="4" t="n"/>
      <c r="L1575" s="2" t="n"/>
      <c r="N1575" s="2" t="n"/>
    </row>
    <row r="1576">
      <c r="D1576" s="2" t="n"/>
      <c r="E1576" s="3" t="n"/>
      <c r="F1576" s="3" t="n"/>
      <c r="G1576" s="3" t="n"/>
      <c r="H1576" s="4" t="n"/>
      <c r="L1576" s="2" t="n"/>
      <c r="N1576" s="2" t="n"/>
    </row>
    <row r="1577">
      <c r="D1577" s="2" t="n"/>
      <c r="E1577" s="3" t="n"/>
      <c r="F1577" s="3" t="n"/>
      <c r="G1577" s="3" t="n"/>
      <c r="H1577" s="4" t="n"/>
      <c r="L1577" s="2" t="n"/>
      <c r="N1577" s="2" t="n"/>
    </row>
    <row r="1578">
      <c r="D1578" s="2" t="n"/>
      <c r="E1578" s="3" t="n"/>
      <c r="F1578" s="3" t="n"/>
      <c r="G1578" s="3" t="n"/>
      <c r="H1578" s="4" t="n"/>
      <c r="L1578" s="2" t="n"/>
      <c r="N1578" s="2" t="n"/>
    </row>
    <row r="1579">
      <c r="D1579" s="2" t="n"/>
      <c r="E1579" s="3" t="n"/>
      <c r="F1579" s="3" t="n"/>
      <c r="G1579" s="3" t="n"/>
      <c r="H1579" s="4" t="n"/>
      <c r="L1579" s="2" t="n"/>
      <c r="N1579" s="2" t="n"/>
    </row>
    <row r="1580">
      <c r="D1580" s="2" t="n"/>
      <c r="E1580" s="3" t="n"/>
      <c r="F1580" s="3" t="n"/>
      <c r="G1580" s="3" t="n"/>
      <c r="H1580" s="4" t="n"/>
      <c r="L1580" s="2" t="n"/>
      <c r="N1580" s="2" t="n"/>
    </row>
    <row r="1581">
      <c r="D1581" s="2" t="n"/>
      <c r="E1581" s="3" t="n"/>
      <c r="F1581" s="3" t="n"/>
      <c r="G1581" s="3" t="n"/>
      <c r="H1581" s="4" t="n"/>
      <c r="L1581" s="2" t="n"/>
      <c r="N1581" s="2" t="n"/>
    </row>
    <row r="1582">
      <c r="D1582" s="2" t="n"/>
      <c r="E1582" s="3" t="n"/>
      <c r="F1582" s="3" t="n"/>
      <c r="G1582" s="3" t="n"/>
      <c r="H1582" s="4" t="n"/>
      <c r="L1582" s="2" t="n"/>
      <c r="N1582" s="2" t="n"/>
    </row>
    <row r="1583">
      <c r="D1583" s="2" t="n"/>
      <c r="E1583" s="3" t="n"/>
      <c r="F1583" s="3" t="n"/>
      <c r="G1583" s="3" t="n"/>
      <c r="H1583" s="4" t="n"/>
      <c r="L1583" s="2" t="n"/>
      <c r="N1583" s="2" t="n"/>
    </row>
    <row r="1584">
      <c r="D1584" s="2" t="n"/>
      <c r="E1584" s="3" t="n"/>
      <c r="F1584" s="3" t="n"/>
      <c r="G1584" s="3" t="n"/>
      <c r="H1584" s="4" t="n"/>
      <c r="L1584" s="2" t="n"/>
      <c r="N1584" s="2" t="n"/>
    </row>
    <row r="1585">
      <c r="D1585" s="2" t="n"/>
      <c r="E1585" s="3" t="n"/>
      <c r="F1585" s="3" t="n"/>
      <c r="G1585" s="3" t="n"/>
      <c r="H1585" s="4" t="n"/>
      <c r="L1585" s="2" t="n"/>
      <c r="N1585" s="2" t="n"/>
    </row>
    <row r="1586">
      <c r="D1586" s="2" t="n"/>
      <c r="E1586" s="3" t="n"/>
      <c r="F1586" s="3" t="n"/>
      <c r="G1586" s="3" t="n"/>
      <c r="H1586" s="4" t="n"/>
      <c r="L1586" s="2" t="n"/>
      <c r="N1586" s="2" t="n"/>
    </row>
    <row r="1587">
      <c r="D1587" s="2" t="n"/>
      <c r="E1587" s="3" t="n"/>
      <c r="F1587" s="3" t="n"/>
      <c r="G1587" s="3" t="n"/>
      <c r="H1587" s="4" t="n"/>
      <c r="L1587" s="2" t="n"/>
      <c r="N1587" s="2" t="n"/>
    </row>
    <row r="1588">
      <c r="D1588" s="2" t="n"/>
      <c r="E1588" s="3" t="n"/>
      <c r="F1588" s="3" t="n"/>
      <c r="G1588" s="3" t="n"/>
      <c r="H1588" s="4" t="n"/>
      <c r="L1588" s="2" t="n"/>
      <c r="N1588" s="2" t="n"/>
    </row>
    <row r="1589">
      <c r="D1589" s="2" t="n"/>
      <c r="E1589" s="3" t="n"/>
      <c r="F1589" s="3" t="n"/>
      <c r="G1589" s="3" t="n"/>
      <c r="H1589" s="4" t="n"/>
      <c r="L1589" s="2" t="n"/>
      <c r="N1589" s="2" t="n"/>
    </row>
    <row r="1590">
      <c r="D1590" s="2" t="n"/>
      <c r="E1590" s="3" t="n"/>
      <c r="F1590" s="3" t="n"/>
      <c r="G1590" s="3" t="n"/>
      <c r="H1590" s="4" t="n"/>
      <c r="L1590" s="2" t="n"/>
      <c r="N1590" s="2" t="n"/>
    </row>
    <row r="1591">
      <c r="D1591" s="2" t="n"/>
      <c r="E1591" s="3" t="n"/>
      <c r="F1591" s="3" t="n"/>
      <c r="G1591" s="3" t="n"/>
      <c r="H1591" s="4" t="n"/>
      <c r="L1591" s="2" t="n"/>
      <c r="N1591" s="2" t="n"/>
    </row>
    <row r="1592">
      <c r="D1592" s="2" t="n"/>
      <c r="E1592" s="3" t="n"/>
      <c r="F1592" s="3" t="n"/>
      <c r="G1592" s="3" t="n"/>
      <c r="H1592" s="4" t="n"/>
      <c r="L1592" s="2" t="n"/>
      <c r="N1592" s="2" t="n"/>
    </row>
    <row r="1593">
      <c r="D1593" s="2" t="n"/>
      <c r="E1593" s="3" t="n"/>
      <c r="F1593" s="3" t="n"/>
      <c r="G1593" s="3" t="n"/>
      <c r="H1593" s="4" t="n"/>
      <c r="L1593" s="2" t="n"/>
      <c r="N1593" s="2" t="n"/>
    </row>
    <row r="1594">
      <c r="D1594" s="2" t="n"/>
      <c r="E1594" s="3" t="n"/>
      <c r="F1594" s="3" t="n"/>
      <c r="G1594" s="3" t="n"/>
      <c r="H1594" s="4" t="n"/>
      <c r="L1594" s="2" t="n"/>
      <c r="N1594" s="2" t="n"/>
    </row>
    <row r="1595">
      <c r="D1595" s="2" t="n"/>
      <c r="E1595" s="3" t="n"/>
      <c r="F1595" s="3" t="n"/>
      <c r="G1595" s="3" t="n"/>
      <c r="H1595" s="4" t="n"/>
      <c r="L1595" s="2" t="n"/>
      <c r="N1595" s="2" t="n"/>
    </row>
    <row r="1596">
      <c r="D1596" s="2" t="n"/>
      <c r="E1596" s="3" t="n"/>
      <c r="F1596" s="3" t="n"/>
      <c r="G1596" s="3" t="n"/>
      <c r="H1596" s="4" t="n"/>
      <c r="L1596" s="2" t="n"/>
      <c r="N1596" s="2" t="n"/>
    </row>
    <row r="1597">
      <c r="D1597" s="2" t="n"/>
      <c r="E1597" s="3" t="n"/>
      <c r="F1597" s="3" t="n"/>
      <c r="G1597" s="3" t="n"/>
      <c r="H1597" s="4" t="n"/>
      <c r="L1597" s="2" t="n"/>
      <c r="N1597" s="2" t="n"/>
    </row>
    <row r="1598">
      <c r="D1598" s="2" t="n"/>
      <c r="E1598" s="3" t="n"/>
      <c r="F1598" s="3" t="n"/>
      <c r="G1598" s="3" t="n"/>
      <c r="H1598" s="4" t="n"/>
      <c r="L1598" s="2" t="n"/>
      <c r="N1598" s="2" t="n"/>
    </row>
    <row r="1599">
      <c r="D1599" s="2" t="n"/>
      <c r="E1599" s="3" t="n"/>
      <c r="F1599" s="3" t="n"/>
      <c r="G1599" s="3" t="n"/>
      <c r="H1599" s="4" t="n"/>
      <c r="L1599" s="2" t="n"/>
      <c r="N1599" s="2" t="n"/>
    </row>
    <row r="1600">
      <c r="D1600" s="2" t="n"/>
      <c r="E1600" s="3" t="n"/>
      <c r="F1600" s="3" t="n"/>
      <c r="G1600" s="3" t="n"/>
      <c r="H1600" s="4" t="n"/>
      <c r="L1600" s="2" t="n"/>
      <c r="N1600" s="2" t="n"/>
    </row>
    <row r="1601">
      <c r="D1601" s="2" t="n"/>
      <c r="E1601" s="3" t="n"/>
      <c r="F1601" s="3" t="n"/>
      <c r="G1601" s="3" t="n"/>
      <c r="H1601" s="4" t="n"/>
      <c r="L1601" s="2" t="n"/>
      <c r="N1601" s="2" t="n"/>
    </row>
    <row r="1602">
      <c r="D1602" s="2" t="n"/>
      <c r="E1602" s="3" t="n"/>
      <c r="F1602" s="3" t="n"/>
      <c r="G1602" s="3" t="n"/>
      <c r="H1602" s="4" t="n"/>
      <c r="L1602" s="2" t="n"/>
      <c r="N1602" s="2" t="n"/>
    </row>
    <row r="1603">
      <c r="D1603" s="2" t="n"/>
      <c r="E1603" s="3" t="n"/>
      <c r="F1603" s="3" t="n"/>
      <c r="G1603" s="3" t="n"/>
      <c r="H1603" s="4" t="n"/>
      <c r="L1603" s="2" t="n"/>
      <c r="N1603" s="2" t="n"/>
    </row>
    <row r="1604">
      <c r="D1604" s="2" t="n"/>
      <c r="E1604" s="3" t="n"/>
      <c r="F1604" s="3" t="n"/>
      <c r="G1604" s="3" t="n"/>
      <c r="H1604" s="4" t="n"/>
      <c r="L1604" s="2" t="n"/>
      <c r="N1604" s="2" t="n"/>
    </row>
    <row r="1605">
      <c r="D1605" s="2" t="n"/>
      <c r="E1605" s="3" t="n"/>
      <c r="F1605" s="3" t="n"/>
      <c r="G1605" s="3" t="n"/>
      <c r="H1605" s="4" t="n"/>
      <c r="L1605" s="2" t="n"/>
      <c r="N1605" s="2" t="n"/>
    </row>
    <row r="1606">
      <c r="D1606" s="2" t="n"/>
      <c r="E1606" s="3" t="n"/>
      <c r="F1606" s="3" t="n"/>
      <c r="G1606" s="3" t="n"/>
      <c r="H1606" s="4" t="n"/>
      <c r="L1606" s="2" t="n"/>
      <c r="N1606" s="2" t="n"/>
    </row>
    <row r="1607">
      <c r="D1607" s="2" t="n"/>
      <c r="E1607" s="3" t="n"/>
      <c r="F1607" s="3" t="n"/>
      <c r="G1607" s="3" t="n"/>
      <c r="H1607" s="4" t="n"/>
      <c r="L1607" s="2" t="n"/>
      <c r="N1607" s="2" t="n"/>
    </row>
    <row r="1608">
      <c r="D1608" s="2" t="n"/>
      <c r="E1608" s="3" t="n"/>
      <c r="F1608" s="3" t="n"/>
      <c r="G1608" s="3" t="n"/>
      <c r="H1608" s="4" t="n"/>
      <c r="L1608" s="2" t="n"/>
      <c r="N1608" s="2" t="n"/>
    </row>
    <row r="1609">
      <c r="D1609" s="2" t="n"/>
      <c r="E1609" s="3" t="n"/>
      <c r="F1609" s="3" t="n"/>
      <c r="G1609" s="3" t="n"/>
      <c r="H1609" s="4" t="n"/>
      <c r="L1609" s="2" t="n"/>
      <c r="N1609" s="2" t="n"/>
    </row>
    <row r="1610">
      <c r="D1610" s="2" t="n"/>
      <c r="E1610" s="3" t="n"/>
      <c r="F1610" s="3" t="n"/>
      <c r="G1610" s="3" t="n"/>
      <c r="H1610" s="4" t="n"/>
      <c r="L1610" s="2" t="n"/>
      <c r="N1610" s="2" t="n"/>
    </row>
    <row r="1611">
      <c r="D1611" s="2" t="n"/>
      <c r="E1611" s="3" t="n"/>
      <c r="F1611" s="3" t="n"/>
      <c r="G1611" s="3" t="n"/>
      <c r="H1611" s="4" t="n"/>
      <c r="L1611" s="2" t="n"/>
      <c r="N1611" s="2" t="n"/>
    </row>
    <row r="1612">
      <c r="D1612" s="2" t="n"/>
      <c r="E1612" s="3" t="n"/>
      <c r="F1612" s="3" t="n"/>
      <c r="G1612" s="3" t="n"/>
      <c r="H1612" s="4" t="n"/>
      <c r="L1612" s="2" t="n"/>
      <c r="N1612" s="2" t="n"/>
    </row>
    <row r="1613">
      <c r="D1613" s="2" t="n"/>
      <c r="E1613" s="3" t="n"/>
      <c r="F1613" s="3" t="n"/>
      <c r="G1613" s="3" t="n"/>
      <c r="H1613" s="4" t="n"/>
      <c r="L1613" s="2" t="n"/>
      <c r="N1613" s="2" t="n"/>
    </row>
    <row r="1614">
      <c r="D1614" s="2" t="n"/>
      <c r="E1614" s="3" t="n"/>
      <c r="F1614" s="3" t="n"/>
      <c r="G1614" s="3" t="n"/>
      <c r="H1614" s="4" t="n"/>
      <c r="L1614" s="2" t="n"/>
      <c r="N1614" s="2" t="n"/>
    </row>
    <row r="1615">
      <c r="D1615" s="2" t="n"/>
      <c r="E1615" s="3" t="n"/>
      <c r="F1615" s="3" t="n"/>
      <c r="G1615" s="3" t="n"/>
      <c r="H1615" s="4" t="n"/>
      <c r="L1615" s="2" t="n"/>
      <c r="N1615" s="2" t="n"/>
    </row>
    <row r="1616">
      <c r="D1616" s="2" t="n"/>
      <c r="E1616" s="3" t="n"/>
      <c r="F1616" s="3" t="n"/>
      <c r="G1616" s="3" t="n"/>
      <c r="H1616" s="4" t="n"/>
      <c r="L1616" s="2" t="n"/>
      <c r="N1616" s="2" t="n"/>
    </row>
    <row r="1617">
      <c r="D1617" s="2" t="n"/>
      <c r="E1617" s="3" t="n"/>
      <c r="F1617" s="3" t="n"/>
      <c r="G1617" s="3" t="n"/>
      <c r="H1617" s="4" t="n"/>
      <c r="L1617" s="2" t="n"/>
      <c r="N1617" s="2" t="n"/>
    </row>
    <row r="1618">
      <c r="D1618" s="2" t="n"/>
      <c r="E1618" s="3" t="n"/>
      <c r="F1618" s="3" t="n"/>
      <c r="G1618" s="3" t="n"/>
      <c r="H1618" s="4" t="n"/>
      <c r="L1618" s="2" t="n"/>
      <c r="N1618" s="2" t="n"/>
    </row>
    <row r="1619">
      <c r="D1619" s="2" t="n"/>
      <c r="E1619" s="3" t="n"/>
      <c r="F1619" s="3" t="n"/>
      <c r="G1619" s="3" t="n"/>
      <c r="H1619" s="4" t="n"/>
      <c r="L1619" s="2" t="n"/>
      <c r="N1619" s="2" t="n"/>
    </row>
    <row r="1620">
      <c r="D1620" s="2" t="n"/>
      <c r="E1620" s="3" t="n"/>
      <c r="F1620" s="3" t="n"/>
      <c r="G1620" s="3" t="n"/>
      <c r="H1620" s="4" t="n"/>
      <c r="L1620" s="2" t="n"/>
      <c r="N1620" s="2" t="n"/>
    </row>
    <row r="1621">
      <c r="D1621" s="2" t="n"/>
      <c r="E1621" s="3" t="n"/>
      <c r="F1621" s="3" t="n"/>
      <c r="G1621" s="3" t="n"/>
      <c r="H1621" s="4" t="n"/>
      <c r="L1621" s="2" t="n"/>
      <c r="N1621" s="2" t="n"/>
    </row>
    <row r="1622">
      <c r="D1622" s="2" t="n"/>
      <c r="E1622" s="3" t="n"/>
      <c r="F1622" s="3" t="n"/>
      <c r="G1622" s="3" t="n"/>
      <c r="H1622" s="4" t="n"/>
      <c r="L1622" s="2" t="n"/>
      <c r="N1622" s="2" t="n"/>
    </row>
    <row r="1623">
      <c r="D1623" s="2" t="n"/>
      <c r="E1623" s="3" t="n"/>
      <c r="F1623" s="3" t="n"/>
      <c r="G1623" s="3" t="n"/>
      <c r="H1623" s="4" t="n"/>
      <c r="L1623" s="2" t="n"/>
      <c r="N1623" s="2" t="n"/>
    </row>
    <row r="1624">
      <c r="D1624" s="2" t="n"/>
      <c r="E1624" s="3" t="n"/>
      <c r="F1624" s="3" t="n"/>
      <c r="G1624" s="3" t="n"/>
      <c r="H1624" s="4" t="n"/>
      <c r="L1624" s="2" t="n"/>
      <c r="N1624" s="2" t="n"/>
    </row>
    <row r="1625">
      <c r="D1625" s="2" t="n"/>
      <c r="E1625" s="3" t="n"/>
      <c r="F1625" s="3" t="n"/>
      <c r="G1625" s="3" t="n"/>
      <c r="H1625" s="4" t="n"/>
      <c r="L1625" s="2" t="n"/>
      <c r="N1625" s="2" t="n"/>
    </row>
    <row r="1626">
      <c r="D1626" s="2" t="n"/>
      <c r="E1626" s="3" t="n"/>
      <c r="F1626" s="3" t="n"/>
      <c r="G1626" s="3" t="n"/>
      <c r="H1626" s="4" t="n"/>
      <c r="L1626" s="2" t="n"/>
      <c r="N1626" s="2" t="n"/>
    </row>
    <row r="1627">
      <c r="D1627" s="2" t="n"/>
      <c r="E1627" s="3" t="n"/>
      <c r="F1627" s="3" t="n"/>
      <c r="G1627" s="3" t="n"/>
      <c r="H1627" s="4" t="n"/>
      <c r="L1627" s="2" t="n"/>
      <c r="N1627" s="2" t="n"/>
    </row>
    <row r="1628">
      <c r="D1628" s="2" t="n"/>
      <c r="E1628" s="3" t="n"/>
      <c r="F1628" s="3" t="n"/>
      <c r="G1628" s="3" t="n"/>
      <c r="H1628" s="4" t="n"/>
      <c r="L1628" s="2" t="n"/>
      <c r="N1628" s="2" t="n"/>
    </row>
    <row r="1629">
      <c r="D1629" s="2" t="n"/>
      <c r="E1629" s="3" t="n"/>
      <c r="F1629" s="3" t="n"/>
      <c r="G1629" s="3" t="n"/>
      <c r="H1629" s="4" t="n"/>
      <c r="L1629" s="2" t="n"/>
      <c r="N1629" s="2" t="n"/>
    </row>
    <row r="1630">
      <c r="D1630" s="2" t="n"/>
      <c r="E1630" s="3" t="n"/>
      <c r="F1630" s="3" t="n"/>
      <c r="G1630" s="3" t="n"/>
      <c r="H1630" s="4" t="n"/>
      <c r="L1630" s="2" t="n"/>
      <c r="N1630" s="2" t="n"/>
    </row>
    <row r="1631">
      <c r="D1631" s="2" t="n"/>
      <c r="E1631" s="3" t="n"/>
      <c r="F1631" s="3" t="n"/>
      <c r="G1631" s="3" t="n"/>
      <c r="H1631" s="4" t="n"/>
      <c r="L1631" s="2" t="n"/>
      <c r="N1631" s="2" t="n"/>
    </row>
    <row r="1632">
      <c r="D1632" s="2" t="n"/>
      <c r="E1632" s="3" t="n"/>
      <c r="F1632" s="3" t="n"/>
      <c r="G1632" s="3" t="n"/>
      <c r="H1632" s="4" t="n"/>
      <c r="L1632" s="2" t="n"/>
      <c r="N1632" s="2" t="n"/>
    </row>
    <row r="1633">
      <c r="D1633" s="2" t="n"/>
      <c r="E1633" s="3" t="n"/>
      <c r="F1633" s="3" t="n"/>
      <c r="G1633" s="3" t="n"/>
      <c r="H1633" s="4" t="n"/>
      <c r="L1633" s="2" t="n"/>
      <c r="N1633" s="2" t="n"/>
    </row>
    <row r="1634">
      <c r="D1634" s="2" t="n"/>
      <c r="E1634" s="3" t="n"/>
      <c r="F1634" s="3" t="n"/>
      <c r="G1634" s="3" t="n"/>
      <c r="H1634" s="4" t="n"/>
      <c r="L1634" s="2" t="n"/>
      <c r="N1634" s="2" t="n"/>
    </row>
    <row r="1635">
      <c r="D1635" s="2" t="n"/>
      <c r="E1635" s="3" t="n"/>
      <c r="F1635" s="3" t="n"/>
      <c r="G1635" s="3" t="n"/>
      <c r="H1635" s="4" t="n"/>
      <c r="L1635" s="2" t="n"/>
      <c r="N1635" s="2" t="n"/>
    </row>
    <row r="1636">
      <c r="D1636" s="2" t="n"/>
      <c r="E1636" s="3" t="n"/>
      <c r="F1636" s="3" t="n"/>
      <c r="G1636" s="3" t="n"/>
      <c r="H1636" s="4" t="n"/>
      <c r="L1636" s="2" t="n"/>
      <c r="N1636" s="2" t="n"/>
    </row>
    <row r="1637">
      <c r="D1637" s="2" t="n"/>
      <c r="E1637" s="3" t="n"/>
      <c r="F1637" s="3" t="n"/>
      <c r="G1637" s="3" t="n"/>
      <c r="H1637" s="4" t="n"/>
      <c r="L1637" s="2" t="n"/>
      <c r="N1637" s="2" t="n"/>
    </row>
    <row r="1638">
      <c r="D1638" s="2" t="n"/>
      <c r="E1638" s="3" t="n"/>
      <c r="F1638" s="3" t="n"/>
      <c r="G1638" s="3" t="n"/>
      <c r="H1638" s="4" t="n"/>
      <c r="L1638" s="2" t="n"/>
      <c r="N1638" s="2" t="n"/>
    </row>
    <row r="1639">
      <c r="D1639" s="2" t="n"/>
      <c r="E1639" s="3" t="n"/>
      <c r="F1639" s="3" t="n"/>
      <c r="G1639" s="3" t="n"/>
      <c r="H1639" s="4" t="n"/>
      <c r="L1639" s="2" t="n"/>
      <c r="N1639" s="2" t="n"/>
    </row>
    <row r="1640">
      <c r="D1640" s="2" t="n"/>
      <c r="E1640" s="3" t="n"/>
      <c r="F1640" s="3" t="n"/>
      <c r="G1640" s="3" t="n"/>
      <c r="H1640" s="4" t="n"/>
      <c r="L1640" s="2" t="n"/>
      <c r="N1640" s="2" t="n"/>
    </row>
    <row r="1641">
      <c r="D1641" s="2" t="n"/>
      <c r="E1641" s="3" t="n"/>
      <c r="F1641" s="3" t="n"/>
      <c r="G1641" s="3" t="n"/>
      <c r="H1641" s="4" t="n"/>
      <c r="L1641" s="2" t="n"/>
      <c r="N1641" s="2" t="n"/>
    </row>
    <row r="1642">
      <c r="D1642" s="2" t="n"/>
      <c r="E1642" s="3" t="n"/>
      <c r="F1642" s="3" t="n"/>
      <c r="G1642" s="3" t="n"/>
      <c r="H1642" s="4" t="n"/>
      <c r="L1642" s="2" t="n"/>
      <c r="N1642" s="2" t="n"/>
    </row>
    <row r="1643">
      <c r="D1643" s="2" t="n"/>
      <c r="E1643" s="3" t="n"/>
      <c r="F1643" s="3" t="n"/>
      <c r="G1643" s="3" t="n"/>
      <c r="H1643" s="4" t="n"/>
      <c r="L1643" s="2" t="n"/>
      <c r="N1643" s="2" t="n"/>
    </row>
    <row r="1644">
      <c r="D1644" s="2" t="n"/>
      <c r="E1644" s="3" t="n"/>
      <c r="F1644" s="3" t="n"/>
      <c r="G1644" s="3" t="n"/>
      <c r="H1644" s="4" t="n"/>
      <c r="L1644" s="2" t="n"/>
      <c r="N1644" s="2" t="n"/>
    </row>
    <row r="1645">
      <c r="D1645" s="2" t="n"/>
      <c r="E1645" s="3" t="n"/>
      <c r="F1645" s="3" t="n"/>
      <c r="G1645" s="3" t="n"/>
      <c r="H1645" s="4" t="n"/>
      <c r="L1645" s="2" t="n"/>
      <c r="N1645" s="2" t="n"/>
    </row>
    <row r="1646">
      <c r="D1646" s="2" t="n"/>
      <c r="E1646" s="3" t="n"/>
      <c r="F1646" s="3" t="n"/>
      <c r="G1646" s="3" t="n"/>
      <c r="H1646" s="4" t="n"/>
      <c r="L1646" s="2" t="n"/>
      <c r="N1646" s="2" t="n"/>
    </row>
    <row r="1647">
      <c r="D1647" s="2" t="n"/>
      <c r="E1647" s="3" t="n"/>
      <c r="F1647" s="3" t="n"/>
      <c r="G1647" s="3" t="n"/>
      <c r="H1647" s="4" t="n"/>
      <c r="L1647" s="2" t="n"/>
      <c r="N1647" s="2" t="n"/>
    </row>
    <row r="1648">
      <c r="D1648" s="2" t="n"/>
      <c r="E1648" s="3" t="n"/>
      <c r="F1648" s="3" t="n"/>
      <c r="G1648" s="3" t="n"/>
      <c r="H1648" s="4" t="n"/>
      <c r="L1648" s="2" t="n"/>
      <c r="N1648" s="2" t="n"/>
    </row>
    <row r="1649">
      <c r="D1649" s="2" t="n"/>
      <c r="E1649" s="3" t="n"/>
      <c r="F1649" s="3" t="n"/>
      <c r="G1649" s="3" t="n"/>
      <c r="H1649" s="4" t="n"/>
      <c r="L1649" s="2" t="n"/>
      <c r="N1649" s="2" t="n"/>
    </row>
    <row r="1650">
      <c r="D1650" s="2" t="n"/>
      <c r="E1650" s="3" t="n"/>
      <c r="F1650" s="3" t="n"/>
      <c r="G1650" s="3" t="n"/>
      <c r="H1650" s="4" t="n"/>
      <c r="L1650" s="2" t="n"/>
      <c r="N1650" s="2" t="n"/>
    </row>
    <row r="1651">
      <c r="D1651" s="2" t="n"/>
      <c r="E1651" s="3" t="n"/>
      <c r="F1651" s="3" t="n"/>
      <c r="G1651" s="3" t="n"/>
      <c r="H1651" s="4" t="n"/>
      <c r="L1651" s="2" t="n"/>
      <c r="N1651" s="2" t="n"/>
    </row>
    <row r="1652">
      <c r="D1652" s="2" t="n"/>
      <c r="E1652" s="3" t="n"/>
      <c r="F1652" s="3" t="n"/>
      <c r="G1652" s="3" t="n"/>
      <c r="H1652" s="4" t="n"/>
      <c r="L1652" s="2" t="n"/>
      <c r="N1652" s="2" t="n"/>
    </row>
    <row r="1653">
      <c r="D1653" s="2" t="n"/>
      <c r="E1653" s="3" t="n"/>
      <c r="F1653" s="3" t="n"/>
      <c r="G1653" s="3" t="n"/>
      <c r="H1653" s="4" t="n"/>
      <c r="L1653" s="2" t="n"/>
      <c r="N1653" s="2" t="n"/>
    </row>
    <row r="1654">
      <c r="D1654" s="2" t="n"/>
      <c r="E1654" s="3" t="n"/>
      <c r="F1654" s="3" t="n"/>
      <c r="G1654" s="3" t="n"/>
      <c r="H1654" s="4" t="n"/>
      <c r="L1654" s="2" t="n"/>
      <c r="N1654" s="2" t="n"/>
    </row>
    <row r="1655">
      <c r="D1655" s="2" t="n"/>
      <c r="E1655" s="3" t="n"/>
      <c r="F1655" s="3" t="n"/>
      <c r="G1655" s="3" t="n"/>
      <c r="H1655" s="4" t="n"/>
      <c r="L1655" s="2" t="n"/>
      <c r="N1655" s="2" t="n"/>
    </row>
    <row r="1656">
      <c r="D1656" s="2" t="n"/>
      <c r="E1656" s="3" t="n"/>
      <c r="F1656" s="3" t="n"/>
      <c r="G1656" s="3" t="n"/>
      <c r="H1656" s="4" t="n"/>
      <c r="L1656" s="2" t="n"/>
      <c r="N1656" s="2" t="n"/>
    </row>
    <row r="1657">
      <c r="D1657" s="2" t="n"/>
      <c r="E1657" s="3" t="n"/>
      <c r="F1657" s="3" t="n"/>
      <c r="G1657" s="3" t="n"/>
      <c r="H1657" s="4" t="n"/>
      <c r="L1657" s="2" t="n"/>
      <c r="N1657" s="2" t="n"/>
    </row>
    <row r="1658">
      <c r="D1658" s="2" t="n"/>
      <c r="E1658" s="3" t="n"/>
      <c r="F1658" s="3" t="n"/>
      <c r="G1658" s="3" t="n"/>
      <c r="H1658" s="4" t="n"/>
      <c r="L1658" s="2" t="n"/>
      <c r="N1658" s="2" t="n"/>
    </row>
    <row r="1659">
      <c r="D1659" s="2" t="n"/>
      <c r="E1659" s="3" t="n"/>
      <c r="F1659" s="3" t="n"/>
      <c r="G1659" s="3" t="n"/>
      <c r="H1659" s="4" t="n"/>
      <c r="L1659" s="2" t="n"/>
      <c r="N1659" s="2" t="n"/>
    </row>
    <row r="1660">
      <c r="D1660" s="2" t="n"/>
      <c r="E1660" s="3" t="n"/>
      <c r="F1660" s="3" t="n"/>
      <c r="G1660" s="3" t="n"/>
      <c r="H1660" s="4" t="n"/>
      <c r="L1660" s="2" t="n"/>
      <c r="N1660" s="2" t="n"/>
    </row>
    <row r="1661">
      <c r="D1661" s="2" t="n"/>
      <c r="E1661" s="3" t="n"/>
      <c r="F1661" s="3" t="n"/>
      <c r="G1661" s="3" t="n"/>
      <c r="H1661" s="4" t="n"/>
      <c r="L1661" s="2" t="n"/>
      <c r="N1661" s="2" t="n"/>
    </row>
    <row r="1662">
      <c r="D1662" s="2" t="n"/>
      <c r="E1662" s="3" t="n"/>
      <c r="F1662" s="3" t="n"/>
      <c r="G1662" s="3" t="n"/>
      <c r="H1662" s="4" t="n"/>
      <c r="L1662" s="2" t="n"/>
      <c r="N1662" s="2" t="n"/>
    </row>
    <row r="1663">
      <c r="D1663" s="2" t="n"/>
      <c r="E1663" s="3" t="n"/>
      <c r="F1663" s="3" t="n"/>
      <c r="G1663" s="3" t="n"/>
      <c r="H1663" s="4" t="n"/>
      <c r="L1663" s="2" t="n"/>
      <c r="N1663" s="2" t="n"/>
    </row>
    <row r="1664">
      <c r="D1664" s="2" t="n"/>
      <c r="E1664" s="3" t="n"/>
      <c r="F1664" s="3" t="n"/>
      <c r="G1664" s="3" t="n"/>
      <c r="H1664" s="4" t="n"/>
      <c r="L1664" s="2" t="n"/>
      <c r="N1664" s="2" t="n"/>
    </row>
    <row r="1665">
      <c r="D1665" s="2" t="n"/>
      <c r="E1665" s="3" t="n"/>
      <c r="F1665" s="3" t="n"/>
      <c r="G1665" s="3" t="n"/>
      <c r="H1665" s="4" t="n"/>
      <c r="L1665" s="2" t="n"/>
      <c r="N1665" s="2" t="n"/>
    </row>
    <row r="1666">
      <c r="D1666" s="2" t="n"/>
      <c r="E1666" s="3" t="n"/>
      <c r="F1666" s="3" t="n"/>
      <c r="G1666" s="3" t="n"/>
      <c r="H1666" s="4" t="n"/>
      <c r="L1666" s="2" t="n"/>
      <c r="N1666" s="2" t="n"/>
    </row>
    <row r="1667">
      <c r="D1667" s="2" t="n"/>
      <c r="E1667" s="3" t="n"/>
      <c r="F1667" s="3" t="n"/>
      <c r="G1667" s="3" t="n"/>
      <c r="H1667" s="4" t="n"/>
      <c r="L1667" s="2" t="n"/>
      <c r="N1667" s="2" t="n"/>
    </row>
    <row r="1668">
      <c r="D1668" s="2" t="n"/>
      <c r="E1668" s="3" t="n"/>
      <c r="F1668" s="3" t="n"/>
      <c r="G1668" s="3" t="n"/>
      <c r="H1668" s="4" t="n"/>
      <c r="L1668" s="2" t="n"/>
      <c r="N1668" s="2" t="n"/>
    </row>
    <row r="1669">
      <c r="D1669" s="2" t="n"/>
      <c r="E1669" s="3" t="n"/>
      <c r="F1669" s="3" t="n"/>
      <c r="G1669" s="3" t="n"/>
      <c r="H1669" s="4" t="n"/>
      <c r="L1669" s="2" t="n"/>
      <c r="N1669" s="2" t="n"/>
    </row>
    <row r="1670">
      <c r="D1670" s="2" t="n"/>
      <c r="E1670" s="3" t="n"/>
      <c r="F1670" s="3" t="n"/>
      <c r="G1670" s="3" t="n"/>
      <c r="H1670" s="4" t="n"/>
      <c r="L1670" s="2" t="n"/>
      <c r="N1670" s="2" t="n"/>
    </row>
    <row r="1671">
      <c r="D1671" s="2" t="n"/>
      <c r="E1671" s="3" t="n"/>
      <c r="F1671" s="3" t="n"/>
      <c r="G1671" s="3" t="n"/>
      <c r="H1671" s="4" t="n"/>
      <c r="L1671" s="2" t="n"/>
      <c r="N1671" s="2" t="n"/>
    </row>
    <row r="1672">
      <c r="D1672" s="2" t="n"/>
      <c r="E1672" s="3" t="n"/>
      <c r="F1672" s="3" t="n"/>
      <c r="G1672" s="3" t="n"/>
      <c r="H1672" s="4" t="n"/>
      <c r="L1672" s="2" t="n"/>
      <c r="N1672" s="2" t="n"/>
    </row>
    <row r="1673">
      <c r="D1673" s="2" t="n"/>
      <c r="E1673" s="3" t="n"/>
      <c r="F1673" s="3" t="n"/>
      <c r="G1673" s="3" t="n"/>
      <c r="H1673" s="4" t="n"/>
      <c r="L1673" s="2" t="n"/>
      <c r="N1673" s="2" t="n"/>
    </row>
    <row r="1674">
      <c r="D1674" s="2" t="n"/>
      <c r="E1674" s="3" t="n"/>
      <c r="F1674" s="3" t="n"/>
      <c r="G1674" s="3" t="n"/>
      <c r="H1674" s="4" t="n"/>
      <c r="L1674" s="2" t="n"/>
      <c r="N1674" s="2" t="n"/>
    </row>
    <row r="1675">
      <c r="D1675" s="2" t="n"/>
      <c r="E1675" s="3" t="n"/>
      <c r="F1675" s="3" t="n"/>
      <c r="G1675" s="3" t="n"/>
      <c r="H1675" s="4" t="n"/>
      <c r="L1675" s="2" t="n"/>
      <c r="N1675" s="2" t="n"/>
    </row>
    <row r="1676">
      <c r="D1676" s="2" t="n"/>
      <c r="E1676" s="3" t="n"/>
      <c r="F1676" s="3" t="n"/>
      <c r="G1676" s="3" t="n"/>
      <c r="H1676" s="4" t="n"/>
      <c r="L1676" s="2" t="n"/>
      <c r="N1676" s="2" t="n"/>
    </row>
    <row r="1677">
      <c r="D1677" s="2" t="n"/>
      <c r="E1677" s="3" t="n"/>
      <c r="F1677" s="3" t="n"/>
      <c r="G1677" s="3" t="n"/>
      <c r="H1677" s="4" t="n"/>
      <c r="L1677" s="2" t="n"/>
      <c r="N1677" s="2" t="n"/>
    </row>
    <row r="1678">
      <c r="D1678" s="2" t="n"/>
      <c r="E1678" s="3" t="n"/>
      <c r="F1678" s="3" t="n"/>
      <c r="G1678" s="3" t="n"/>
      <c r="H1678" s="4" t="n"/>
      <c r="L1678" s="2" t="n"/>
      <c r="N1678" s="2" t="n"/>
    </row>
    <row r="1679">
      <c r="D1679" s="2" t="n"/>
      <c r="E1679" s="3" t="n"/>
      <c r="F1679" s="3" t="n"/>
      <c r="G1679" s="3" t="n"/>
      <c r="H1679" s="4" t="n"/>
      <c r="L1679" s="2" t="n"/>
      <c r="N1679" s="2" t="n"/>
    </row>
    <row r="1680">
      <c r="D1680" s="2" t="n"/>
      <c r="E1680" s="3" t="n"/>
      <c r="F1680" s="3" t="n"/>
      <c r="G1680" s="3" t="n"/>
      <c r="H1680" s="4" t="n"/>
      <c r="L1680" s="2" t="n"/>
      <c r="N1680" s="2" t="n"/>
    </row>
    <row r="1681">
      <c r="D1681" s="2" t="n"/>
      <c r="E1681" s="3" t="n"/>
      <c r="F1681" s="3" t="n"/>
      <c r="G1681" s="3" t="n"/>
      <c r="H1681" s="4" t="n"/>
      <c r="L1681" s="2" t="n"/>
      <c r="N1681" s="2" t="n"/>
    </row>
    <row r="1682">
      <c r="D1682" s="2" t="n"/>
      <c r="E1682" s="3" t="n"/>
      <c r="F1682" s="3" t="n"/>
      <c r="G1682" s="3" t="n"/>
      <c r="H1682" s="4" t="n"/>
      <c r="L1682" s="2" t="n"/>
      <c r="N1682" s="2" t="n"/>
    </row>
    <row r="1683">
      <c r="D1683" s="2" t="n"/>
      <c r="E1683" s="3" t="n"/>
      <c r="F1683" s="3" t="n"/>
      <c r="G1683" s="3" t="n"/>
      <c r="H1683" s="4" t="n"/>
      <c r="L1683" s="2" t="n"/>
      <c r="N1683" s="2" t="n"/>
    </row>
    <row r="1684">
      <c r="D1684" s="2" t="n"/>
      <c r="E1684" s="3" t="n"/>
      <c r="F1684" s="3" t="n"/>
      <c r="G1684" s="3" t="n"/>
      <c r="H1684" s="4" t="n"/>
      <c r="L1684" s="2" t="n"/>
      <c r="N1684" s="2" t="n"/>
    </row>
    <row r="1685">
      <c r="D1685" s="2" t="n"/>
      <c r="E1685" s="3" t="n"/>
      <c r="F1685" s="3" t="n"/>
      <c r="G1685" s="3" t="n"/>
      <c r="H1685" s="4" t="n"/>
      <c r="L1685" s="2" t="n"/>
      <c r="N1685" s="2" t="n"/>
    </row>
    <row r="1686">
      <c r="D1686" s="2" t="n"/>
      <c r="E1686" s="3" t="n"/>
      <c r="F1686" s="3" t="n"/>
      <c r="G1686" s="3" t="n"/>
      <c r="H1686" s="4" t="n"/>
      <c r="L1686" s="2" t="n"/>
      <c r="N1686" s="2" t="n"/>
    </row>
    <row r="1687">
      <c r="D1687" s="2" t="n"/>
      <c r="E1687" s="3" t="n"/>
      <c r="F1687" s="3" t="n"/>
      <c r="G1687" s="3" t="n"/>
      <c r="H1687" s="4" t="n"/>
      <c r="L1687" s="2" t="n"/>
      <c r="N1687" s="2" t="n"/>
    </row>
    <row r="1688">
      <c r="D1688" s="2" t="n"/>
      <c r="E1688" s="3" t="n"/>
      <c r="F1688" s="3" t="n"/>
      <c r="G1688" s="3" t="n"/>
      <c r="H1688" s="4" t="n"/>
      <c r="L1688" s="2" t="n"/>
      <c r="N1688" s="2" t="n"/>
    </row>
    <row r="1689">
      <c r="D1689" s="2" t="n"/>
      <c r="E1689" s="3" t="n"/>
      <c r="F1689" s="3" t="n"/>
      <c r="G1689" s="3" t="n"/>
      <c r="H1689" s="4" t="n"/>
      <c r="L1689" s="2" t="n"/>
      <c r="N1689" s="2" t="n"/>
    </row>
    <row r="1690">
      <c r="D1690" s="2" t="n"/>
      <c r="E1690" s="3" t="n"/>
      <c r="F1690" s="3" t="n"/>
      <c r="G1690" s="3" t="n"/>
      <c r="H1690" s="4" t="n"/>
      <c r="L1690" s="2" t="n"/>
      <c r="N1690" s="2" t="n"/>
    </row>
    <row r="1691">
      <c r="D1691" s="2" t="n"/>
      <c r="E1691" s="3" t="n"/>
      <c r="F1691" s="3" t="n"/>
      <c r="G1691" s="3" t="n"/>
      <c r="H1691" s="4" t="n"/>
      <c r="L1691" s="2" t="n"/>
      <c r="N1691" s="2" t="n"/>
    </row>
    <row r="1692">
      <c r="D1692" s="2" t="n"/>
      <c r="E1692" s="3" t="n"/>
      <c r="F1692" s="3" t="n"/>
      <c r="G1692" s="3" t="n"/>
      <c r="H1692" s="4" t="n"/>
      <c r="L1692" s="2" t="n"/>
      <c r="N1692" s="2" t="n"/>
    </row>
    <row r="1693">
      <c r="D1693" s="2" t="n"/>
      <c r="E1693" s="3" t="n"/>
      <c r="F1693" s="3" t="n"/>
      <c r="G1693" s="3" t="n"/>
      <c r="H1693" s="4" t="n"/>
      <c r="L1693" s="2" t="n"/>
      <c r="N1693" s="2" t="n"/>
    </row>
    <row r="1694">
      <c r="D1694" s="2" t="n"/>
      <c r="E1694" s="3" t="n"/>
      <c r="F1694" s="3" t="n"/>
      <c r="G1694" s="3" t="n"/>
      <c r="H1694" s="4" t="n"/>
      <c r="L1694" s="2" t="n"/>
      <c r="N1694" s="2" t="n"/>
    </row>
    <row r="1695">
      <c r="D1695" s="2" t="n"/>
      <c r="E1695" s="3" t="n"/>
      <c r="F1695" s="3" t="n"/>
      <c r="G1695" s="3" t="n"/>
      <c r="H1695" s="4" t="n"/>
      <c r="L1695" s="2" t="n"/>
      <c r="N1695" s="2" t="n"/>
    </row>
    <row r="1696">
      <c r="D1696" s="2" t="n"/>
      <c r="E1696" s="3" t="n"/>
      <c r="F1696" s="3" t="n"/>
      <c r="G1696" s="3" t="n"/>
      <c r="H1696" s="4" t="n"/>
      <c r="L1696" s="2" t="n"/>
      <c r="N1696" s="2" t="n"/>
    </row>
    <row r="1697">
      <c r="D1697" s="2" t="n"/>
      <c r="E1697" s="3" t="n"/>
      <c r="F1697" s="3" t="n"/>
      <c r="G1697" s="3" t="n"/>
      <c r="H1697" s="4" t="n"/>
      <c r="L1697" s="2" t="n"/>
      <c r="N1697" s="2" t="n"/>
    </row>
    <row r="1698">
      <c r="D1698" s="2" t="n"/>
      <c r="E1698" s="3" t="n"/>
      <c r="F1698" s="3" t="n"/>
      <c r="G1698" s="3" t="n"/>
      <c r="H1698" s="4" t="n"/>
      <c r="L1698" s="2" t="n"/>
      <c r="N1698" s="2" t="n"/>
    </row>
    <row r="1699">
      <c r="D1699" s="2" t="n"/>
      <c r="E1699" s="3" t="n"/>
      <c r="F1699" s="3" t="n"/>
      <c r="G1699" s="3" t="n"/>
      <c r="H1699" s="4" t="n"/>
      <c r="L1699" s="2" t="n"/>
      <c r="N1699" s="2" t="n"/>
    </row>
    <row r="1700">
      <c r="D1700" s="2" t="n"/>
      <c r="E1700" s="3" t="n"/>
      <c r="F1700" s="3" t="n"/>
      <c r="G1700" s="3" t="n"/>
      <c r="H1700" s="4" t="n"/>
      <c r="L1700" s="2" t="n"/>
      <c r="N1700" s="2" t="n"/>
    </row>
    <row r="1701">
      <c r="D1701" s="2" t="n"/>
      <c r="E1701" s="3" t="n"/>
      <c r="F1701" s="3" t="n"/>
      <c r="G1701" s="3" t="n"/>
      <c r="H1701" s="4" t="n"/>
      <c r="L1701" s="2" t="n"/>
      <c r="N1701" s="2" t="n"/>
    </row>
    <row r="1702">
      <c r="D1702" s="2" t="n"/>
      <c r="E1702" s="3" t="n"/>
      <c r="F1702" s="3" t="n"/>
      <c r="G1702" s="3" t="n"/>
      <c r="H1702" s="4" t="n"/>
      <c r="L1702" s="2" t="n"/>
      <c r="N1702" s="2" t="n"/>
    </row>
    <row r="1703">
      <c r="D1703" s="2" t="n"/>
      <c r="E1703" s="3" t="n"/>
      <c r="F1703" s="3" t="n"/>
      <c r="G1703" s="3" t="n"/>
      <c r="H1703" s="4" t="n"/>
      <c r="L1703" s="2" t="n"/>
      <c r="N1703" s="2" t="n"/>
    </row>
    <row r="1704">
      <c r="D1704" s="2" t="n"/>
      <c r="E1704" s="3" t="n"/>
      <c r="F1704" s="3" t="n"/>
      <c r="G1704" s="3" t="n"/>
      <c r="H1704" s="4" t="n"/>
      <c r="L1704" s="2" t="n"/>
      <c r="N1704" s="2" t="n"/>
    </row>
    <row r="1705">
      <c r="D1705" s="2" t="n"/>
      <c r="E1705" s="3" t="n"/>
      <c r="F1705" s="3" t="n"/>
      <c r="G1705" s="3" t="n"/>
      <c r="H1705" s="4" t="n"/>
      <c r="L1705" s="2" t="n"/>
      <c r="N1705" s="2" t="n"/>
    </row>
    <row r="1706">
      <c r="D1706" s="2" t="n"/>
      <c r="E1706" s="3" t="n"/>
      <c r="F1706" s="3" t="n"/>
      <c r="G1706" s="3" t="n"/>
      <c r="H1706" s="4" t="n"/>
      <c r="L1706" s="2" t="n"/>
      <c r="N1706" s="2" t="n"/>
    </row>
    <row r="1707">
      <c r="D1707" s="2" t="n"/>
      <c r="E1707" s="3" t="n"/>
      <c r="F1707" s="3" t="n"/>
      <c r="G1707" s="3" t="n"/>
      <c r="H1707" s="4" t="n"/>
      <c r="L1707" s="2" t="n"/>
      <c r="N1707" s="2" t="n"/>
    </row>
    <row r="1708">
      <c r="D1708" s="2" t="n"/>
      <c r="E1708" s="3" t="n"/>
      <c r="F1708" s="3" t="n"/>
      <c r="G1708" s="3" t="n"/>
      <c r="H1708" s="4" t="n"/>
      <c r="L1708" s="2" t="n"/>
      <c r="N1708" s="2" t="n"/>
    </row>
    <row r="1709">
      <c r="D1709" s="2" t="n"/>
      <c r="E1709" s="3" t="n"/>
      <c r="F1709" s="3" t="n"/>
      <c r="G1709" s="3" t="n"/>
      <c r="H1709" s="4" t="n"/>
      <c r="L1709" s="2" t="n"/>
      <c r="N1709" s="2" t="n"/>
    </row>
    <row r="1710">
      <c r="D1710" s="2" t="n"/>
      <c r="E1710" s="3" t="n"/>
      <c r="F1710" s="3" t="n"/>
      <c r="G1710" s="3" t="n"/>
      <c r="H1710" s="4" t="n"/>
      <c r="L1710" s="2" t="n"/>
      <c r="N1710" s="2" t="n"/>
    </row>
    <row r="1711">
      <c r="D1711" s="2" t="n"/>
      <c r="E1711" s="3" t="n"/>
      <c r="F1711" s="3" t="n"/>
      <c r="G1711" s="3" t="n"/>
      <c r="H1711" s="4" t="n"/>
      <c r="L1711" s="2" t="n"/>
      <c r="N1711" s="2" t="n"/>
    </row>
    <row r="1712">
      <c r="D1712" s="2" t="n"/>
      <c r="E1712" s="3" t="n"/>
      <c r="F1712" s="3" t="n"/>
      <c r="G1712" s="3" t="n"/>
      <c r="H1712" s="4" t="n"/>
      <c r="L1712" s="2" t="n"/>
      <c r="N1712" s="2" t="n"/>
    </row>
    <row r="1713">
      <c r="D1713" s="2" t="n"/>
      <c r="E1713" s="3" t="n"/>
      <c r="F1713" s="3" t="n"/>
      <c r="G1713" s="3" t="n"/>
      <c r="H1713" s="4" t="n"/>
      <c r="L1713" s="2" t="n"/>
      <c r="N1713" s="2" t="n"/>
    </row>
    <row r="1714">
      <c r="D1714" s="2" t="n"/>
      <c r="E1714" s="3" t="n"/>
      <c r="F1714" s="3" t="n"/>
      <c r="G1714" s="3" t="n"/>
      <c r="H1714" s="4" t="n"/>
      <c r="L1714" s="2" t="n"/>
      <c r="N1714" s="2" t="n"/>
    </row>
    <row r="1715">
      <c r="D1715" s="2" t="n"/>
      <c r="E1715" s="3" t="n"/>
      <c r="F1715" s="3" t="n"/>
      <c r="G1715" s="3" t="n"/>
      <c r="H1715" s="4" t="n"/>
      <c r="L1715" s="2" t="n"/>
      <c r="N1715" s="2" t="n"/>
    </row>
    <row r="1716">
      <c r="D1716" s="2" t="n"/>
      <c r="E1716" s="3" t="n"/>
      <c r="F1716" s="3" t="n"/>
      <c r="G1716" s="3" t="n"/>
      <c r="H1716" s="4" t="n"/>
      <c r="L1716" s="2" t="n"/>
      <c r="N1716" s="2" t="n"/>
    </row>
    <row r="1717">
      <c r="D1717" s="2" t="n"/>
      <c r="E1717" s="3" t="n"/>
      <c r="F1717" s="3" t="n"/>
      <c r="G1717" s="3" t="n"/>
      <c r="H1717" s="4" t="n"/>
      <c r="L1717" s="2" t="n"/>
      <c r="N1717" s="2" t="n"/>
    </row>
    <row r="1718">
      <c r="D1718" s="2" t="n"/>
      <c r="E1718" s="3" t="n"/>
      <c r="F1718" s="3" t="n"/>
      <c r="G1718" s="3" t="n"/>
      <c r="H1718" s="4" t="n"/>
      <c r="L1718" s="2" t="n"/>
      <c r="N1718" s="2" t="n"/>
    </row>
    <row r="1719">
      <c r="D1719" s="2" t="n"/>
      <c r="E1719" s="3" t="n"/>
      <c r="F1719" s="3" t="n"/>
      <c r="G1719" s="3" t="n"/>
      <c r="H1719" s="4" t="n"/>
      <c r="L1719" s="2" t="n"/>
      <c r="N1719" s="2" t="n"/>
    </row>
    <row r="1720">
      <c r="D1720" s="2" t="n"/>
      <c r="E1720" s="3" t="n"/>
      <c r="F1720" s="3" t="n"/>
      <c r="G1720" s="3" t="n"/>
      <c r="H1720" s="4" t="n"/>
      <c r="L1720" s="2" t="n"/>
      <c r="N1720" s="2" t="n"/>
    </row>
    <row r="1721">
      <c r="D1721" s="2" t="n"/>
      <c r="E1721" s="3" t="n"/>
      <c r="F1721" s="3" t="n"/>
      <c r="G1721" s="3" t="n"/>
      <c r="H1721" s="4" t="n"/>
      <c r="L1721" s="2" t="n"/>
      <c r="N1721" s="2" t="n"/>
    </row>
    <row r="1722">
      <c r="D1722" s="2" t="n"/>
      <c r="E1722" s="3" t="n"/>
      <c r="F1722" s="3" t="n"/>
      <c r="G1722" s="3" t="n"/>
      <c r="H1722" s="4" t="n"/>
      <c r="L1722" s="2" t="n"/>
      <c r="N1722" s="2" t="n"/>
    </row>
    <row r="1723">
      <c r="D1723" s="2" t="n"/>
      <c r="E1723" s="3" t="n"/>
      <c r="F1723" s="3" t="n"/>
      <c r="G1723" s="3" t="n"/>
      <c r="H1723" s="4" t="n"/>
      <c r="L1723" s="2" t="n"/>
      <c r="N1723" s="2" t="n"/>
    </row>
    <row r="1724">
      <c r="D1724" s="2" t="n"/>
      <c r="E1724" s="3" t="n"/>
      <c r="F1724" s="3" t="n"/>
      <c r="G1724" s="3" t="n"/>
      <c r="H1724" s="4" t="n"/>
      <c r="L1724" s="2" t="n"/>
      <c r="N1724" s="2" t="n"/>
    </row>
    <row r="1725">
      <c r="D1725" s="2" t="n"/>
      <c r="E1725" s="3" t="n"/>
      <c r="F1725" s="3" t="n"/>
      <c r="G1725" s="3" t="n"/>
      <c r="H1725" s="4" t="n"/>
      <c r="L1725" s="2" t="n"/>
      <c r="N1725" s="2" t="n"/>
    </row>
    <row r="1726">
      <c r="D1726" s="2" t="n"/>
      <c r="E1726" s="3" t="n"/>
      <c r="F1726" s="3" t="n"/>
      <c r="G1726" s="3" t="n"/>
      <c r="H1726" s="4" t="n"/>
      <c r="L1726" s="2" t="n"/>
      <c r="N1726" s="2" t="n"/>
    </row>
    <row r="1727">
      <c r="D1727" s="2" t="n"/>
      <c r="E1727" s="3" t="n"/>
      <c r="F1727" s="3" t="n"/>
      <c r="G1727" s="3" t="n"/>
      <c r="H1727" s="4" t="n"/>
      <c r="L1727" s="2" t="n"/>
      <c r="N1727" s="2" t="n"/>
    </row>
    <row r="1728">
      <c r="D1728" s="2" t="n"/>
      <c r="E1728" s="3" t="n"/>
      <c r="F1728" s="3" t="n"/>
      <c r="G1728" s="3" t="n"/>
      <c r="H1728" s="4" t="n"/>
      <c r="L1728" s="2" t="n"/>
      <c r="N1728" s="2" t="n"/>
    </row>
    <row r="1729">
      <c r="D1729" s="2" t="n"/>
      <c r="E1729" s="3" t="n"/>
      <c r="F1729" s="3" t="n"/>
      <c r="G1729" s="3" t="n"/>
      <c r="H1729" s="4" t="n"/>
      <c r="L1729" s="2" t="n"/>
      <c r="N1729" s="2" t="n"/>
    </row>
    <row r="1730">
      <c r="D1730" s="2" t="n"/>
      <c r="E1730" s="3" t="n"/>
      <c r="F1730" s="3" t="n"/>
      <c r="G1730" s="3" t="n"/>
      <c r="H1730" s="4" t="n"/>
      <c r="L1730" s="2" t="n"/>
      <c r="N1730" s="2" t="n"/>
    </row>
    <row r="1731">
      <c r="D1731" s="2" t="n"/>
      <c r="E1731" s="3" t="n"/>
      <c r="F1731" s="3" t="n"/>
      <c r="G1731" s="3" t="n"/>
      <c r="H1731" s="4" t="n"/>
      <c r="L1731" s="2" t="n"/>
      <c r="N1731" s="2" t="n"/>
    </row>
    <row r="1732">
      <c r="D1732" s="2" t="n"/>
      <c r="E1732" s="3" t="n"/>
      <c r="F1732" s="3" t="n"/>
      <c r="G1732" s="3" t="n"/>
      <c r="H1732" s="4" t="n"/>
      <c r="L1732" s="2" t="n"/>
      <c r="N1732" s="2" t="n"/>
    </row>
    <row r="1733">
      <c r="D1733" s="2" t="n"/>
      <c r="E1733" s="3" t="n"/>
      <c r="F1733" s="3" t="n"/>
      <c r="G1733" s="3" t="n"/>
      <c r="H1733" s="4" t="n"/>
      <c r="L1733" s="2" t="n"/>
      <c r="N1733" s="2" t="n"/>
    </row>
    <row r="1734">
      <c r="D1734" s="2" t="n"/>
      <c r="E1734" s="3" t="n"/>
      <c r="F1734" s="3" t="n"/>
      <c r="G1734" s="3" t="n"/>
      <c r="H1734" s="4" t="n"/>
      <c r="L1734" s="2" t="n"/>
      <c r="N1734" s="2" t="n"/>
    </row>
    <row r="1735">
      <c r="D1735" s="2" t="n"/>
      <c r="E1735" s="3" t="n"/>
      <c r="F1735" s="3" t="n"/>
      <c r="G1735" s="3" t="n"/>
      <c r="H1735" s="4" t="n"/>
      <c r="L1735" s="2" t="n"/>
      <c r="N1735" s="2" t="n"/>
    </row>
    <row r="1736">
      <c r="D1736" s="2" t="n"/>
      <c r="E1736" s="3" t="n"/>
      <c r="F1736" s="3" t="n"/>
      <c r="G1736" s="3" t="n"/>
      <c r="H1736" s="4" t="n"/>
      <c r="L1736" s="2" t="n"/>
      <c r="N1736" s="2" t="n"/>
    </row>
    <row r="1737">
      <c r="D1737" s="2" t="n"/>
      <c r="E1737" s="3" t="n"/>
      <c r="F1737" s="3" t="n"/>
      <c r="G1737" s="3" t="n"/>
      <c r="H1737" s="4" t="n"/>
      <c r="L1737" s="2" t="n"/>
      <c r="N1737" s="2" t="n"/>
    </row>
    <row r="1738">
      <c r="D1738" s="2" t="n"/>
      <c r="E1738" s="3" t="n"/>
      <c r="F1738" s="3" t="n"/>
      <c r="G1738" s="3" t="n"/>
      <c r="H1738" s="4" t="n"/>
      <c r="L1738" s="2" t="n"/>
      <c r="N1738" s="2" t="n"/>
    </row>
    <row r="1739">
      <c r="D1739" s="2" t="n"/>
      <c r="E1739" s="3" t="n"/>
      <c r="F1739" s="3" t="n"/>
      <c r="G1739" s="3" t="n"/>
      <c r="H1739" s="4" t="n"/>
      <c r="L1739" s="2" t="n"/>
      <c r="N1739" s="2" t="n"/>
    </row>
    <row r="1740">
      <c r="D1740" s="2" t="n"/>
      <c r="E1740" s="3" t="n"/>
      <c r="F1740" s="3" t="n"/>
      <c r="G1740" s="3" t="n"/>
      <c r="H1740" s="4" t="n"/>
      <c r="L1740" s="2" t="n"/>
      <c r="N1740" s="2" t="n"/>
    </row>
    <row r="1741">
      <c r="D1741" s="2" t="n"/>
      <c r="E1741" s="3" t="n"/>
      <c r="F1741" s="3" t="n"/>
      <c r="G1741" s="3" t="n"/>
      <c r="H1741" s="4" t="n"/>
      <c r="L1741" s="2" t="n"/>
      <c r="N1741" s="2" t="n"/>
    </row>
    <row r="1742">
      <c r="D1742" s="2" t="n"/>
      <c r="E1742" s="3" t="n"/>
      <c r="F1742" s="3" t="n"/>
      <c r="G1742" s="3" t="n"/>
      <c r="H1742" s="4" t="n"/>
      <c r="L1742" s="2" t="n"/>
      <c r="N1742" s="2" t="n"/>
    </row>
    <row r="1743">
      <c r="D1743" s="2" t="n"/>
      <c r="E1743" s="3" t="n"/>
      <c r="F1743" s="3" t="n"/>
      <c r="G1743" s="3" t="n"/>
      <c r="H1743" s="4" t="n"/>
      <c r="L1743" s="2" t="n"/>
      <c r="N1743" s="2" t="n"/>
    </row>
    <row r="1744">
      <c r="D1744" s="2" t="n"/>
      <c r="E1744" s="3" t="n"/>
      <c r="F1744" s="3" t="n"/>
      <c r="G1744" s="3" t="n"/>
      <c r="H1744" s="4" t="n"/>
      <c r="L1744" s="2" t="n"/>
      <c r="N1744" s="2" t="n"/>
    </row>
    <row r="1745">
      <c r="D1745" s="2" t="n"/>
      <c r="E1745" s="3" t="n"/>
      <c r="F1745" s="3" t="n"/>
      <c r="G1745" s="3" t="n"/>
      <c r="H1745" s="4" t="n"/>
      <c r="L1745" s="2" t="n"/>
      <c r="N1745" s="2" t="n"/>
    </row>
    <row r="1746">
      <c r="D1746" s="2" t="n"/>
      <c r="E1746" s="3" t="n"/>
      <c r="F1746" s="3" t="n"/>
      <c r="G1746" s="3" t="n"/>
      <c r="H1746" s="4" t="n"/>
      <c r="L1746" s="2" t="n"/>
      <c r="N1746" s="2" t="n"/>
    </row>
    <row r="1747">
      <c r="D1747" s="2" t="n"/>
      <c r="E1747" s="3" t="n"/>
      <c r="F1747" s="3" t="n"/>
      <c r="G1747" s="3" t="n"/>
      <c r="H1747" s="4" t="n"/>
      <c r="L1747" s="2" t="n"/>
      <c r="N1747" s="2" t="n"/>
    </row>
    <row r="1748">
      <c r="D1748" s="2" t="n"/>
      <c r="E1748" s="3" t="n"/>
      <c r="F1748" s="3" t="n"/>
      <c r="G1748" s="3" t="n"/>
      <c r="H1748" s="4" t="n"/>
      <c r="L1748" s="2" t="n"/>
      <c r="N1748" s="2" t="n"/>
    </row>
    <row r="1749">
      <c r="D1749" s="2" t="n"/>
      <c r="E1749" s="3" t="n"/>
      <c r="F1749" s="3" t="n"/>
      <c r="G1749" s="3" t="n"/>
      <c r="H1749" s="4" t="n"/>
      <c r="L1749" s="2" t="n"/>
      <c r="N1749" s="2" t="n"/>
    </row>
    <row r="1750">
      <c r="D1750" s="2" t="n"/>
      <c r="E1750" s="3" t="n"/>
      <c r="F1750" s="3" t="n"/>
      <c r="G1750" s="3" t="n"/>
      <c r="H1750" s="4" t="n"/>
      <c r="L1750" s="2" t="n"/>
      <c r="N1750" s="2" t="n"/>
    </row>
    <row r="1751">
      <c r="D1751" s="2" t="n"/>
      <c r="E1751" s="3" t="n"/>
      <c r="F1751" s="3" t="n"/>
      <c r="G1751" s="3" t="n"/>
      <c r="H1751" s="4" t="n"/>
      <c r="L1751" s="2" t="n"/>
      <c r="N1751" s="2" t="n"/>
    </row>
    <row r="1752">
      <c r="D1752" s="2" t="n"/>
      <c r="E1752" s="3" t="n"/>
      <c r="F1752" s="3" t="n"/>
      <c r="G1752" s="3" t="n"/>
      <c r="H1752" s="4" t="n"/>
      <c r="L1752" s="2" t="n"/>
      <c r="N1752" s="2" t="n"/>
    </row>
    <row r="1753">
      <c r="D1753" s="2" t="n"/>
      <c r="E1753" s="3" t="n"/>
      <c r="F1753" s="3" t="n"/>
      <c r="G1753" s="3" t="n"/>
      <c r="H1753" s="4" t="n"/>
      <c r="L1753" s="2" t="n"/>
      <c r="N1753" s="2" t="n"/>
    </row>
    <row r="1754">
      <c r="D1754" s="2" t="n"/>
      <c r="E1754" s="3" t="n"/>
      <c r="F1754" s="3" t="n"/>
      <c r="G1754" s="3" t="n"/>
      <c r="H1754" s="4" t="n"/>
      <c r="L1754" s="2" t="n"/>
      <c r="N1754" s="2" t="n"/>
    </row>
    <row r="1755">
      <c r="D1755" s="2" t="n"/>
      <c r="E1755" s="3" t="n"/>
      <c r="F1755" s="3" t="n"/>
      <c r="G1755" s="3" t="n"/>
      <c r="H1755" s="4" t="n"/>
      <c r="L1755" s="2" t="n"/>
      <c r="N1755" s="2" t="n"/>
    </row>
    <row r="1756">
      <c r="D1756" s="2" t="n"/>
      <c r="E1756" s="3" t="n"/>
      <c r="F1756" s="3" t="n"/>
      <c r="G1756" s="3" t="n"/>
      <c r="H1756" s="4" t="n"/>
      <c r="L1756" s="2" t="n"/>
      <c r="N1756" s="2" t="n"/>
    </row>
    <row r="1757">
      <c r="D1757" s="2" t="n"/>
      <c r="E1757" s="3" t="n"/>
      <c r="F1757" s="3" t="n"/>
      <c r="G1757" s="3" t="n"/>
      <c r="H1757" s="4" t="n"/>
      <c r="L1757" s="2" t="n"/>
      <c r="N1757" s="2" t="n"/>
    </row>
    <row r="1758">
      <c r="D1758" s="2" t="n"/>
      <c r="E1758" s="3" t="n"/>
      <c r="F1758" s="3" t="n"/>
      <c r="G1758" s="3" t="n"/>
      <c r="H1758" s="4" t="n"/>
      <c r="L1758" s="2" t="n"/>
      <c r="N1758" s="2" t="n"/>
    </row>
    <row r="1759">
      <c r="D1759" s="2" t="n"/>
      <c r="E1759" s="3" t="n"/>
      <c r="F1759" s="3" t="n"/>
      <c r="G1759" s="3" t="n"/>
      <c r="H1759" s="4" t="n"/>
      <c r="L1759" s="2" t="n"/>
      <c r="N1759" s="2" t="n"/>
    </row>
    <row r="1760">
      <c r="D1760" s="2" t="n"/>
      <c r="E1760" s="3" t="n"/>
      <c r="F1760" s="3" t="n"/>
      <c r="G1760" s="3" t="n"/>
      <c r="H1760" s="4" t="n"/>
      <c r="L1760" s="2" t="n"/>
      <c r="N1760" s="2" t="n"/>
    </row>
    <row r="1761">
      <c r="D1761" s="2" t="n"/>
      <c r="E1761" s="3" t="n"/>
      <c r="F1761" s="3" t="n"/>
      <c r="G1761" s="3" t="n"/>
      <c r="H1761" s="4" t="n"/>
      <c r="L1761" s="2" t="n"/>
      <c r="N1761" s="2" t="n"/>
    </row>
    <row r="1762">
      <c r="D1762" s="2" t="n"/>
      <c r="E1762" s="3" t="n"/>
      <c r="F1762" s="3" t="n"/>
      <c r="G1762" s="3" t="n"/>
      <c r="H1762" s="4" t="n"/>
      <c r="L1762" s="2" t="n"/>
      <c r="N1762" s="2" t="n"/>
    </row>
    <row r="1763">
      <c r="D1763" s="2" t="n"/>
      <c r="E1763" s="3" t="n"/>
      <c r="F1763" s="3" t="n"/>
      <c r="G1763" s="3" t="n"/>
      <c r="H1763" s="4" t="n"/>
      <c r="L1763" s="2" t="n"/>
      <c r="N1763" s="2" t="n"/>
    </row>
    <row r="1764">
      <c r="D1764" s="2" t="n"/>
      <c r="E1764" s="3" t="n"/>
      <c r="F1764" s="3" t="n"/>
      <c r="G1764" s="3" t="n"/>
      <c r="H1764" s="4" t="n"/>
      <c r="L1764" s="2" t="n"/>
      <c r="N1764" s="2" t="n"/>
    </row>
    <row r="1765">
      <c r="D1765" s="2" t="n"/>
      <c r="E1765" s="3" t="n"/>
      <c r="F1765" s="3" t="n"/>
      <c r="G1765" s="3" t="n"/>
      <c r="H1765" s="4" t="n"/>
      <c r="L1765" s="2" t="n"/>
      <c r="N1765" s="2" t="n"/>
    </row>
    <row r="1766">
      <c r="D1766" s="2" t="n"/>
      <c r="E1766" s="3" t="n"/>
      <c r="F1766" s="3" t="n"/>
      <c r="G1766" s="3" t="n"/>
      <c r="H1766" s="4" t="n"/>
      <c r="L1766" s="2" t="n"/>
      <c r="N1766" s="2" t="n"/>
    </row>
    <row r="1767">
      <c r="D1767" s="2" t="n"/>
      <c r="E1767" s="3" t="n"/>
      <c r="F1767" s="3" t="n"/>
      <c r="G1767" s="3" t="n"/>
      <c r="H1767" s="4" t="n"/>
      <c r="L1767" s="2" t="n"/>
      <c r="N1767" s="2" t="n"/>
    </row>
    <row r="1768">
      <c r="D1768" s="2" t="n"/>
      <c r="E1768" s="3" t="n"/>
      <c r="F1768" s="3" t="n"/>
      <c r="G1768" s="3" t="n"/>
      <c r="H1768" s="4" t="n"/>
      <c r="L1768" s="2" t="n"/>
      <c r="N1768" s="2" t="n"/>
    </row>
    <row r="1769">
      <c r="D1769" s="2" t="n"/>
      <c r="E1769" s="3" t="n"/>
      <c r="F1769" s="3" t="n"/>
      <c r="G1769" s="3" t="n"/>
      <c r="H1769" s="4" t="n"/>
      <c r="L1769" s="2" t="n"/>
      <c r="N1769" s="2" t="n"/>
    </row>
    <row r="1770">
      <c r="D1770" s="2" t="n"/>
      <c r="E1770" s="3" t="n"/>
      <c r="F1770" s="3" t="n"/>
      <c r="G1770" s="3" t="n"/>
      <c r="H1770" s="4" t="n"/>
      <c r="L1770" s="2" t="n"/>
      <c r="N1770" s="2" t="n"/>
    </row>
    <row r="1771">
      <c r="D1771" s="2" t="n"/>
      <c r="E1771" s="3" t="n"/>
      <c r="F1771" s="3" t="n"/>
      <c r="G1771" s="3" t="n"/>
      <c r="H1771" s="4" t="n"/>
      <c r="L1771" s="2" t="n"/>
      <c r="N1771" s="2" t="n"/>
    </row>
    <row r="1772">
      <c r="D1772" s="2" t="n"/>
      <c r="E1772" s="3" t="n"/>
      <c r="F1772" s="3" t="n"/>
      <c r="G1772" s="3" t="n"/>
      <c r="H1772" s="4" t="n"/>
      <c r="L1772" s="2" t="n"/>
      <c r="N1772" s="2" t="n"/>
    </row>
    <row r="1773">
      <c r="D1773" s="2" t="n"/>
      <c r="E1773" s="3" t="n"/>
      <c r="F1773" s="3" t="n"/>
      <c r="G1773" s="3" t="n"/>
      <c r="H1773" s="4" t="n"/>
      <c r="L1773" s="2" t="n"/>
      <c r="N1773" s="2" t="n"/>
    </row>
    <row r="1774">
      <c r="D1774" s="2" t="n"/>
      <c r="E1774" s="3" t="n"/>
      <c r="F1774" s="3" t="n"/>
      <c r="G1774" s="3" t="n"/>
      <c r="H1774" s="4" t="n"/>
      <c r="L1774" s="2" t="n"/>
      <c r="N1774" s="2" t="n"/>
    </row>
    <row r="1775">
      <c r="D1775" s="2" t="n"/>
      <c r="E1775" s="3" t="n"/>
      <c r="F1775" s="3" t="n"/>
      <c r="G1775" s="3" t="n"/>
      <c r="H1775" s="4" t="n"/>
      <c r="L1775" s="2" t="n"/>
      <c r="N1775" s="2" t="n"/>
    </row>
    <row r="1776">
      <c r="D1776" s="2" t="n"/>
      <c r="E1776" s="3" t="n"/>
      <c r="F1776" s="3" t="n"/>
      <c r="G1776" s="3" t="n"/>
      <c r="H1776" s="4" t="n"/>
      <c r="L1776" s="2" t="n"/>
      <c r="N1776" s="2" t="n"/>
    </row>
    <row r="1777">
      <c r="D1777" s="2" t="n"/>
      <c r="E1777" s="3" t="n"/>
      <c r="F1777" s="3" t="n"/>
      <c r="G1777" s="3" t="n"/>
      <c r="H1777" s="4" t="n"/>
      <c r="L1777" s="2" t="n"/>
      <c r="N1777" s="2" t="n"/>
    </row>
    <row r="1778">
      <c r="D1778" s="2" t="n"/>
      <c r="E1778" s="3" t="n"/>
      <c r="F1778" s="3" t="n"/>
      <c r="G1778" s="3" t="n"/>
      <c r="H1778" s="4" t="n"/>
      <c r="L1778" s="2" t="n"/>
      <c r="N1778" s="2" t="n"/>
    </row>
    <row r="1779">
      <c r="D1779" s="2" t="n"/>
      <c r="E1779" s="3" t="n"/>
      <c r="F1779" s="3" t="n"/>
      <c r="G1779" s="3" t="n"/>
      <c r="H1779" s="4" t="n"/>
      <c r="L1779" s="2" t="n"/>
      <c r="N1779" s="2" t="n"/>
    </row>
    <row r="1780">
      <c r="D1780" s="2" t="n"/>
      <c r="E1780" s="3" t="n"/>
      <c r="F1780" s="3" t="n"/>
      <c r="G1780" s="3" t="n"/>
      <c r="H1780" s="4" t="n"/>
      <c r="L1780" s="2" t="n"/>
      <c r="N1780" s="2" t="n"/>
    </row>
    <row r="1781">
      <c r="D1781" s="2" t="n"/>
      <c r="E1781" s="3" t="n"/>
      <c r="F1781" s="3" t="n"/>
      <c r="G1781" s="3" t="n"/>
      <c r="H1781" s="4" t="n"/>
      <c r="L1781" s="2" t="n"/>
      <c r="N1781" s="2" t="n"/>
    </row>
    <row r="1782">
      <c r="D1782" s="2" t="n"/>
      <c r="E1782" s="3" t="n"/>
      <c r="F1782" s="3" t="n"/>
      <c r="G1782" s="3" t="n"/>
      <c r="H1782" s="4" t="n"/>
      <c r="L1782" s="2" t="n"/>
      <c r="N1782" s="2" t="n"/>
    </row>
    <row r="1783">
      <c r="D1783" s="2" t="n"/>
      <c r="E1783" s="3" t="n"/>
      <c r="F1783" s="3" t="n"/>
      <c r="G1783" s="3" t="n"/>
      <c r="H1783" s="4" t="n"/>
      <c r="L1783" s="2" t="n"/>
      <c r="N1783" s="2" t="n"/>
    </row>
    <row r="1784">
      <c r="D1784" s="2" t="n"/>
      <c r="E1784" s="3" t="n"/>
      <c r="F1784" s="3" t="n"/>
      <c r="G1784" s="3" t="n"/>
      <c r="H1784" s="4" t="n"/>
      <c r="L1784" s="2" t="n"/>
      <c r="N1784" s="2" t="n"/>
    </row>
    <row r="1785">
      <c r="D1785" s="2" t="n"/>
      <c r="E1785" s="3" t="n"/>
      <c r="F1785" s="3" t="n"/>
      <c r="G1785" s="3" t="n"/>
      <c r="H1785" s="4" t="n"/>
      <c r="L1785" s="2" t="n"/>
      <c r="N1785" s="2" t="n"/>
    </row>
    <row r="1786">
      <c r="D1786" s="2" t="n"/>
      <c r="E1786" s="3" t="n"/>
      <c r="F1786" s="3" t="n"/>
      <c r="G1786" s="3" t="n"/>
      <c r="H1786" s="4" t="n"/>
      <c r="L1786" s="2" t="n"/>
      <c r="N1786" s="2" t="n"/>
    </row>
    <row r="1787">
      <c r="D1787" s="2" t="n"/>
      <c r="E1787" s="3" t="n"/>
      <c r="F1787" s="3" t="n"/>
      <c r="G1787" s="3" t="n"/>
      <c r="H1787" s="4" t="n"/>
      <c r="L1787" s="2" t="n"/>
      <c r="N1787" s="2" t="n"/>
    </row>
    <row r="1788">
      <c r="D1788" s="2" t="n"/>
      <c r="E1788" s="3" t="n"/>
      <c r="F1788" s="3" t="n"/>
      <c r="G1788" s="3" t="n"/>
      <c r="H1788" s="4" t="n"/>
      <c r="L1788" s="2" t="n"/>
      <c r="N1788" s="2" t="n"/>
    </row>
    <row r="1789">
      <c r="D1789" s="2" t="n"/>
      <c r="E1789" s="3" t="n"/>
      <c r="F1789" s="3" t="n"/>
      <c r="G1789" s="3" t="n"/>
      <c r="H1789" s="4" t="n"/>
      <c r="L1789" s="2" t="n"/>
      <c r="N1789" s="2" t="n"/>
    </row>
    <row r="1790">
      <c r="D1790" s="2" t="n"/>
      <c r="E1790" s="3" t="n"/>
      <c r="F1790" s="3" t="n"/>
      <c r="G1790" s="3" t="n"/>
      <c r="H1790" s="4" t="n"/>
      <c r="L1790" s="2" t="n"/>
      <c r="N1790" s="2" t="n"/>
    </row>
    <row r="1791">
      <c r="D1791" s="2" t="n"/>
      <c r="E1791" s="3" t="n"/>
      <c r="F1791" s="3" t="n"/>
      <c r="G1791" s="3" t="n"/>
      <c r="H1791" s="4" t="n"/>
      <c r="L1791" s="2" t="n"/>
      <c r="N1791" s="2" t="n"/>
    </row>
    <row r="1792">
      <c r="D1792" s="2" t="n"/>
      <c r="E1792" s="3" t="n"/>
      <c r="F1792" s="3" t="n"/>
      <c r="G1792" s="3" t="n"/>
      <c r="H1792" s="4" t="n"/>
      <c r="L1792" s="2" t="n"/>
      <c r="N1792" s="2" t="n"/>
    </row>
    <row r="1793">
      <c r="D1793" s="2" t="n"/>
      <c r="E1793" s="3" t="n"/>
      <c r="F1793" s="3" t="n"/>
      <c r="G1793" s="3" t="n"/>
      <c r="H1793" s="4" t="n"/>
      <c r="L1793" s="2" t="n"/>
      <c r="N1793" s="2" t="n"/>
    </row>
    <row r="1794">
      <c r="D1794" s="2" t="n"/>
      <c r="E1794" s="3" t="n"/>
      <c r="F1794" s="3" t="n"/>
      <c r="G1794" s="3" t="n"/>
      <c r="H1794" s="4" t="n"/>
      <c r="L1794" s="2" t="n"/>
      <c r="N1794" s="2" t="n"/>
    </row>
    <row r="1795">
      <c r="D1795" s="2" t="n"/>
      <c r="E1795" s="3" t="n"/>
      <c r="F1795" s="3" t="n"/>
      <c r="G1795" s="3" t="n"/>
      <c r="H1795" s="4" t="n"/>
      <c r="L1795" s="2" t="n"/>
      <c r="N1795" s="2" t="n"/>
    </row>
    <row r="1796">
      <c r="D1796" s="2" t="n"/>
      <c r="E1796" s="3" t="n"/>
      <c r="F1796" s="3" t="n"/>
      <c r="G1796" s="3" t="n"/>
      <c r="H1796" s="4" t="n"/>
      <c r="L1796" s="2" t="n"/>
      <c r="N1796" s="2" t="n"/>
    </row>
    <row r="1797">
      <c r="D1797" s="2" t="n"/>
      <c r="E1797" s="3" t="n"/>
      <c r="F1797" s="3" t="n"/>
      <c r="G1797" s="3" t="n"/>
      <c r="H1797" s="4" t="n"/>
      <c r="L1797" s="2" t="n"/>
      <c r="N1797" s="2" t="n"/>
    </row>
    <row r="1798">
      <c r="D1798" s="2" t="n"/>
      <c r="E1798" s="3" t="n"/>
      <c r="F1798" s="3" t="n"/>
      <c r="G1798" s="3" t="n"/>
      <c r="H1798" s="4" t="n"/>
      <c r="L1798" s="2" t="n"/>
      <c r="N1798" s="2" t="n"/>
    </row>
    <row r="1799">
      <c r="D1799" s="2" t="n"/>
      <c r="E1799" s="3" t="n"/>
      <c r="F1799" s="3" t="n"/>
      <c r="G1799" s="3" t="n"/>
      <c r="H1799" s="4" t="n"/>
      <c r="L1799" s="2" t="n"/>
      <c r="N1799" s="2" t="n"/>
    </row>
    <row r="1800">
      <c r="D1800" s="2" t="n"/>
      <c r="E1800" s="3" t="n"/>
      <c r="F1800" s="3" t="n"/>
      <c r="G1800" s="3" t="n"/>
      <c r="H1800" s="4" t="n"/>
      <c r="L1800" s="2" t="n"/>
      <c r="N1800" s="2" t="n"/>
    </row>
    <row r="1801">
      <c r="D1801" s="2" t="n"/>
      <c r="E1801" s="3" t="n"/>
      <c r="F1801" s="3" t="n"/>
      <c r="G1801" s="3" t="n"/>
      <c r="H1801" s="4" t="n"/>
      <c r="L1801" s="2" t="n"/>
      <c r="N1801" s="2" t="n"/>
    </row>
    <row r="1802">
      <c r="D1802" s="2" t="n"/>
      <c r="E1802" s="3" t="n"/>
      <c r="F1802" s="3" t="n"/>
      <c r="G1802" s="3" t="n"/>
      <c r="H1802" s="4" t="n"/>
      <c r="L1802" s="2" t="n"/>
      <c r="N1802" s="2" t="n"/>
    </row>
    <row r="1803">
      <c r="D1803" s="2" t="n"/>
      <c r="E1803" s="3" t="n"/>
      <c r="F1803" s="3" t="n"/>
      <c r="G1803" s="3" t="n"/>
      <c r="H1803" s="4" t="n"/>
      <c r="L1803" s="2" t="n"/>
      <c r="N1803" s="2" t="n"/>
    </row>
    <row r="1804">
      <c r="D1804" s="2" t="n"/>
      <c r="E1804" s="3" t="n"/>
      <c r="F1804" s="3" t="n"/>
      <c r="G1804" s="3" t="n"/>
      <c r="H1804" s="4" t="n"/>
      <c r="L1804" s="2" t="n"/>
      <c r="N1804" s="2" t="n"/>
    </row>
    <row r="1805">
      <c r="D1805" s="2" t="n"/>
      <c r="E1805" s="3" t="n"/>
      <c r="F1805" s="3" t="n"/>
      <c r="G1805" s="3" t="n"/>
      <c r="H1805" s="4" t="n"/>
      <c r="L1805" s="2" t="n"/>
      <c r="N1805" s="2" t="n"/>
    </row>
    <row r="1806">
      <c r="D1806" s="2" t="n"/>
      <c r="E1806" s="3" t="n"/>
      <c r="F1806" s="3" t="n"/>
      <c r="G1806" s="3" t="n"/>
      <c r="H1806" s="4" t="n"/>
      <c r="L1806" s="2" t="n"/>
      <c r="N1806" s="2" t="n"/>
    </row>
    <row r="1807">
      <c r="D1807" s="2" t="n"/>
      <c r="E1807" s="3" t="n"/>
      <c r="F1807" s="3" t="n"/>
      <c r="G1807" s="3" t="n"/>
      <c r="H1807" s="4" t="n"/>
      <c r="L1807" s="2" t="n"/>
      <c r="N1807" s="2" t="n"/>
    </row>
    <row r="1808">
      <c r="D1808" s="2" t="n"/>
      <c r="E1808" s="3" t="n"/>
      <c r="F1808" s="3" t="n"/>
      <c r="G1808" s="3" t="n"/>
      <c r="H1808" s="4" t="n"/>
      <c r="L1808" s="2" t="n"/>
      <c r="N1808" s="2" t="n"/>
    </row>
    <row r="1809">
      <c r="D1809" s="2" t="n"/>
      <c r="E1809" s="3" t="n"/>
      <c r="F1809" s="3" t="n"/>
      <c r="G1809" s="3" t="n"/>
      <c r="H1809" s="4" t="n"/>
      <c r="L1809" s="2" t="n"/>
      <c r="N1809" s="2" t="n"/>
    </row>
    <row r="1810">
      <c r="D1810" s="2" t="n"/>
      <c r="E1810" s="3" t="n"/>
      <c r="F1810" s="3" t="n"/>
      <c r="G1810" s="3" t="n"/>
      <c r="H1810" s="4" t="n"/>
      <c r="L1810" s="2" t="n"/>
      <c r="N1810" s="2" t="n"/>
    </row>
    <row r="1811">
      <c r="D1811" s="2" t="n"/>
      <c r="E1811" s="3" t="n"/>
      <c r="F1811" s="3" t="n"/>
      <c r="G1811" s="3" t="n"/>
      <c r="H1811" s="4" t="n"/>
      <c r="L1811" s="2" t="n"/>
      <c r="N1811" s="2" t="n"/>
    </row>
    <row r="1812">
      <c r="D1812" s="2" t="n"/>
      <c r="E1812" s="3" t="n"/>
      <c r="F1812" s="3" t="n"/>
      <c r="G1812" s="3" t="n"/>
      <c r="H1812" s="4" t="n"/>
      <c r="L1812" s="2" t="n"/>
      <c r="N1812" s="2" t="n"/>
    </row>
    <row r="1813">
      <c r="D1813" s="2" t="n"/>
      <c r="E1813" s="3" t="n"/>
      <c r="F1813" s="3" t="n"/>
      <c r="G1813" s="3" t="n"/>
      <c r="H1813" s="4" t="n"/>
      <c r="L1813" s="2" t="n"/>
      <c r="N1813" s="2" t="n"/>
    </row>
    <row r="1814">
      <c r="D1814" s="2" t="n"/>
      <c r="E1814" s="3" t="n"/>
      <c r="F1814" s="3" t="n"/>
      <c r="G1814" s="3" t="n"/>
      <c r="H1814" s="4" t="n"/>
      <c r="L1814" s="2" t="n"/>
      <c r="N1814" s="2" t="n"/>
    </row>
    <row r="1815">
      <c r="D1815" s="2" t="n"/>
      <c r="E1815" s="3" t="n"/>
      <c r="F1815" s="3" t="n"/>
      <c r="G1815" s="3" t="n"/>
      <c r="H1815" s="4" t="n"/>
      <c r="L1815" s="2" t="n"/>
      <c r="N1815" s="2" t="n"/>
    </row>
    <row r="1816">
      <c r="D1816" s="2" t="n"/>
      <c r="E1816" s="3" t="n"/>
      <c r="F1816" s="3" t="n"/>
      <c r="G1816" s="3" t="n"/>
      <c r="H1816" s="4" t="n"/>
      <c r="L1816" s="2" t="n"/>
      <c r="N1816" s="2" t="n"/>
    </row>
    <row r="1817">
      <c r="D1817" s="2" t="n"/>
      <c r="E1817" s="3" t="n"/>
      <c r="F1817" s="3" t="n"/>
      <c r="G1817" s="3" t="n"/>
      <c r="H1817" s="4" t="n"/>
      <c r="L1817" s="2" t="n"/>
      <c r="N1817" s="2" t="n"/>
    </row>
    <row r="1818">
      <c r="D1818" s="2" t="n"/>
      <c r="E1818" s="3" t="n"/>
      <c r="F1818" s="3" t="n"/>
      <c r="G1818" s="3" t="n"/>
      <c r="H1818" s="4" t="n"/>
      <c r="L1818" s="2" t="n"/>
      <c r="N1818" s="2" t="n"/>
    </row>
    <row r="1819">
      <c r="D1819" s="2" t="n"/>
      <c r="E1819" s="3" t="n"/>
      <c r="F1819" s="3" t="n"/>
      <c r="G1819" s="3" t="n"/>
      <c r="H1819" s="4" t="n"/>
      <c r="L1819" s="2" t="n"/>
      <c r="N1819" s="2" t="n"/>
    </row>
    <row r="1820">
      <c r="D1820" s="2" t="n"/>
      <c r="E1820" s="3" t="n"/>
      <c r="F1820" s="3" t="n"/>
      <c r="G1820" s="3" t="n"/>
      <c r="H1820" s="4" t="n"/>
      <c r="L1820" s="2" t="n"/>
      <c r="N1820" s="2" t="n"/>
    </row>
    <row r="1821">
      <c r="D1821" s="2" t="n"/>
      <c r="E1821" s="3" t="n"/>
      <c r="F1821" s="3" t="n"/>
      <c r="G1821" s="3" t="n"/>
      <c r="H1821" s="4" t="n"/>
      <c r="L1821" s="2" t="n"/>
      <c r="N1821" s="2" t="n"/>
    </row>
    <row r="1822">
      <c r="D1822" s="2" t="n"/>
      <c r="E1822" s="3" t="n"/>
      <c r="F1822" s="3" t="n"/>
      <c r="G1822" s="3" t="n"/>
      <c r="H1822" s="4" t="n"/>
      <c r="L1822" s="2" t="n"/>
      <c r="N1822" s="2" t="n"/>
    </row>
    <row r="1823">
      <c r="D1823" s="2" t="n"/>
      <c r="E1823" s="3" t="n"/>
      <c r="F1823" s="3" t="n"/>
      <c r="G1823" s="3" t="n"/>
      <c r="H1823" s="4" t="n"/>
      <c r="L1823" s="2" t="n"/>
      <c r="N1823" s="2" t="n"/>
    </row>
    <row r="1824">
      <c r="D1824" s="2" t="n"/>
      <c r="E1824" s="3" t="n"/>
      <c r="F1824" s="3" t="n"/>
      <c r="G1824" s="3" t="n"/>
      <c r="H1824" s="4" t="n"/>
      <c r="L1824" s="2" t="n"/>
      <c r="N1824" s="2" t="n"/>
    </row>
    <row r="1825">
      <c r="D1825" s="2" t="n"/>
      <c r="E1825" s="3" t="n"/>
      <c r="F1825" s="3" t="n"/>
      <c r="G1825" s="3" t="n"/>
      <c r="H1825" s="4" t="n"/>
      <c r="L1825" s="2" t="n"/>
      <c r="N1825" s="2" t="n"/>
    </row>
    <row r="1826">
      <c r="D1826" s="2" t="n"/>
      <c r="E1826" s="3" t="n"/>
      <c r="F1826" s="3" t="n"/>
      <c r="G1826" s="3" t="n"/>
      <c r="H1826" s="4" t="n"/>
      <c r="L1826" s="2" t="n"/>
      <c r="N1826" s="2" t="n"/>
    </row>
    <row r="1827">
      <c r="D1827" s="2" t="n"/>
      <c r="E1827" s="3" t="n"/>
      <c r="F1827" s="3" t="n"/>
      <c r="G1827" s="3" t="n"/>
      <c r="H1827" s="4" t="n"/>
      <c r="L1827" s="2" t="n"/>
      <c r="N1827" s="2" t="n"/>
    </row>
    <row r="1828">
      <c r="D1828" s="2" t="n"/>
      <c r="E1828" s="3" t="n"/>
      <c r="F1828" s="3" t="n"/>
      <c r="G1828" s="3" t="n"/>
      <c r="H1828" s="4" t="n"/>
      <c r="L1828" s="2" t="n"/>
      <c r="N1828" s="2" t="n"/>
    </row>
    <row r="1829">
      <c r="D1829" s="2" t="n"/>
      <c r="E1829" s="3" t="n"/>
      <c r="F1829" s="3" t="n"/>
      <c r="G1829" s="3" t="n"/>
      <c r="H1829" s="4" t="n"/>
      <c r="L1829" s="2" t="n"/>
      <c r="N1829" s="2" t="n"/>
    </row>
    <row r="1830">
      <c r="D1830" s="2" t="n"/>
      <c r="E1830" s="3" t="n"/>
      <c r="F1830" s="3" t="n"/>
      <c r="G1830" s="3" t="n"/>
      <c r="H1830" s="4" t="n"/>
      <c r="L1830" s="2" t="n"/>
      <c r="N1830" s="2" t="n"/>
    </row>
    <row r="1831">
      <c r="D1831" s="2" t="n"/>
      <c r="E1831" s="3" t="n"/>
      <c r="F1831" s="3" t="n"/>
      <c r="G1831" s="3" t="n"/>
      <c r="H1831" s="4" t="n"/>
      <c r="L1831" s="2" t="n"/>
      <c r="N1831" s="2" t="n"/>
    </row>
    <row r="1832">
      <c r="D1832" s="2" t="n"/>
      <c r="E1832" s="3" t="n"/>
      <c r="F1832" s="3" t="n"/>
      <c r="G1832" s="3" t="n"/>
      <c r="H1832" s="4" t="n"/>
      <c r="L1832" s="2" t="n"/>
      <c r="N1832" s="2" t="n"/>
    </row>
    <row r="1833">
      <c r="D1833" s="2" t="n"/>
      <c r="E1833" s="3" t="n"/>
      <c r="F1833" s="3" t="n"/>
      <c r="G1833" s="3" t="n"/>
      <c r="H1833" s="4" t="n"/>
      <c r="L1833" s="2" t="n"/>
      <c r="N1833" s="2" t="n"/>
    </row>
    <row r="1834">
      <c r="D1834" s="2" t="n"/>
      <c r="E1834" s="3" t="n"/>
      <c r="F1834" s="3" t="n"/>
      <c r="G1834" s="3" t="n"/>
      <c r="H1834" s="4" t="n"/>
      <c r="L1834" s="2" t="n"/>
      <c r="N1834" s="2" t="n"/>
    </row>
    <row r="1835">
      <c r="D1835" s="2" t="n"/>
      <c r="E1835" s="3" t="n"/>
      <c r="F1835" s="3" t="n"/>
      <c r="G1835" s="3" t="n"/>
      <c r="H1835" s="4" t="n"/>
      <c r="L1835" s="2" t="n"/>
      <c r="N1835" s="2" t="n"/>
    </row>
    <row r="1836">
      <c r="D1836" s="2" t="n"/>
      <c r="E1836" s="3" t="n"/>
      <c r="F1836" s="3" t="n"/>
      <c r="G1836" s="3" t="n"/>
      <c r="H1836" s="4" t="n"/>
      <c r="L1836" s="2" t="n"/>
      <c r="N1836" s="2" t="n"/>
    </row>
    <row r="1837">
      <c r="D1837" s="2" t="n"/>
      <c r="E1837" s="3" t="n"/>
      <c r="F1837" s="3" t="n"/>
      <c r="G1837" s="3" t="n"/>
      <c r="H1837" s="4" t="n"/>
      <c r="L1837" s="2" t="n"/>
      <c r="N1837" s="2" t="n"/>
    </row>
    <row r="1838">
      <c r="D1838" s="2" t="n"/>
      <c r="E1838" s="3" t="n"/>
      <c r="F1838" s="3" t="n"/>
      <c r="G1838" s="3" t="n"/>
      <c r="H1838" s="4" t="n"/>
      <c r="L1838" s="2" t="n"/>
      <c r="N1838" s="2" t="n"/>
    </row>
    <row r="1839">
      <c r="D1839" s="2" t="n"/>
      <c r="E1839" s="3" t="n"/>
      <c r="F1839" s="3" t="n"/>
      <c r="G1839" s="3" t="n"/>
      <c r="H1839" s="4" t="n"/>
      <c r="L1839" s="2" t="n"/>
      <c r="N1839" s="2" t="n"/>
    </row>
    <row r="1840">
      <c r="D1840" s="2" t="n"/>
      <c r="E1840" s="3" t="n"/>
      <c r="F1840" s="3" t="n"/>
      <c r="G1840" s="3" t="n"/>
      <c r="H1840" s="4" t="n"/>
      <c r="L1840" s="2" t="n"/>
      <c r="N1840" s="2" t="n"/>
    </row>
    <row r="1841">
      <c r="D1841" s="2" t="n"/>
      <c r="E1841" s="3" t="n"/>
      <c r="F1841" s="3" t="n"/>
      <c r="G1841" s="3" t="n"/>
      <c r="H1841" s="4" t="n"/>
      <c r="L1841" s="2" t="n"/>
      <c r="N1841" s="2" t="n"/>
    </row>
    <row r="1842">
      <c r="D1842" s="2" t="n"/>
      <c r="E1842" s="3" t="n"/>
      <c r="F1842" s="3" t="n"/>
      <c r="G1842" s="3" t="n"/>
      <c r="H1842" s="4" t="n"/>
      <c r="L1842" s="2" t="n"/>
      <c r="N1842" s="2" t="n"/>
    </row>
    <row r="1843">
      <c r="D1843" s="2" t="n"/>
      <c r="E1843" s="3" t="n"/>
      <c r="F1843" s="3" t="n"/>
      <c r="G1843" s="3" t="n"/>
      <c r="H1843" s="4" t="n"/>
      <c r="L1843" s="2" t="n"/>
      <c r="N1843" s="2" t="n"/>
    </row>
    <row r="1844">
      <c r="D1844" s="2" t="n"/>
      <c r="E1844" s="3" t="n"/>
      <c r="F1844" s="3" t="n"/>
      <c r="G1844" s="3" t="n"/>
      <c r="H1844" s="4" t="n"/>
      <c r="L1844" s="2" t="n"/>
      <c r="N1844" s="2" t="n"/>
    </row>
    <row r="1845">
      <c r="D1845" s="2" t="n"/>
      <c r="E1845" s="3" t="n"/>
      <c r="F1845" s="3" t="n"/>
      <c r="G1845" s="3" t="n"/>
      <c r="H1845" s="4" t="n"/>
      <c r="L1845" s="2" t="n"/>
      <c r="N1845" s="2" t="n"/>
    </row>
    <row r="1846">
      <c r="D1846" s="2" t="n"/>
      <c r="E1846" s="3" t="n"/>
      <c r="F1846" s="3" t="n"/>
      <c r="G1846" s="3" t="n"/>
      <c r="H1846" s="4" t="n"/>
      <c r="L1846" s="2" t="n"/>
      <c r="N1846" s="2" t="n"/>
    </row>
    <row r="1847">
      <c r="D1847" s="2" t="n"/>
      <c r="E1847" s="3" t="n"/>
      <c r="F1847" s="3" t="n"/>
      <c r="G1847" s="3" t="n"/>
      <c r="H1847" s="4" t="n"/>
      <c r="L1847" s="2" t="n"/>
      <c r="N1847" s="2" t="n"/>
    </row>
    <row r="1848">
      <c r="D1848" s="2" t="n"/>
      <c r="E1848" s="3" t="n"/>
      <c r="F1848" s="3" t="n"/>
      <c r="G1848" s="3" t="n"/>
      <c r="H1848" s="4" t="n"/>
      <c r="L1848" s="2" t="n"/>
      <c r="N1848" s="2" t="n"/>
    </row>
    <row r="1849">
      <c r="D1849" s="2" t="n"/>
      <c r="E1849" s="3" t="n"/>
      <c r="F1849" s="3" t="n"/>
      <c r="G1849" s="3" t="n"/>
      <c r="H1849" s="4" t="n"/>
      <c r="L1849" s="2" t="n"/>
      <c r="N1849" s="2" t="n"/>
    </row>
    <row r="1850">
      <c r="D1850" s="2" t="n"/>
      <c r="E1850" s="3" t="n"/>
      <c r="F1850" s="3" t="n"/>
      <c r="G1850" s="3" t="n"/>
      <c r="H1850" s="4" t="n"/>
      <c r="L1850" s="2" t="n"/>
      <c r="N1850" s="2" t="n"/>
    </row>
    <row r="1851">
      <c r="D1851" s="2" t="n"/>
      <c r="E1851" s="3" t="n"/>
      <c r="F1851" s="3" t="n"/>
      <c r="G1851" s="3" t="n"/>
      <c r="H1851" s="4" t="n"/>
      <c r="L1851" s="2" t="n"/>
      <c r="N1851" s="2" t="n"/>
    </row>
    <row r="1852">
      <c r="D1852" s="2" t="n"/>
      <c r="E1852" s="3" t="n"/>
      <c r="F1852" s="3" t="n"/>
      <c r="G1852" s="3" t="n"/>
      <c r="H1852" s="4" t="n"/>
      <c r="L1852" s="2" t="n"/>
      <c r="N1852" s="2" t="n"/>
    </row>
    <row r="1853">
      <c r="D1853" s="2" t="n"/>
      <c r="E1853" s="3" t="n"/>
      <c r="F1853" s="3" t="n"/>
      <c r="G1853" s="3" t="n"/>
      <c r="H1853" s="4" t="n"/>
      <c r="L1853" s="2" t="n"/>
      <c r="N1853" s="2" t="n"/>
    </row>
    <row r="1854">
      <c r="D1854" s="2" t="n"/>
      <c r="E1854" s="3" t="n"/>
      <c r="F1854" s="3" t="n"/>
      <c r="G1854" s="3" t="n"/>
      <c r="H1854" s="4" t="n"/>
      <c r="L1854" s="2" t="n"/>
      <c r="N1854" s="2" t="n"/>
    </row>
    <row r="1855">
      <c r="D1855" s="2" t="n"/>
      <c r="E1855" s="3" t="n"/>
      <c r="F1855" s="3" t="n"/>
      <c r="G1855" s="3" t="n"/>
      <c r="H1855" s="4" t="n"/>
      <c r="L1855" s="2" t="n"/>
      <c r="N1855" s="2" t="n"/>
    </row>
    <row r="1856">
      <c r="D1856" s="2" t="n"/>
      <c r="E1856" s="3" t="n"/>
      <c r="F1856" s="3" t="n"/>
      <c r="G1856" s="3" t="n"/>
      <c r="H1856" s="4" t="n"/>
      <c r="L1856" s="2" t="n"/>
      <c r="N1856" s="2" t="n"/>
    </row>
    <row r="1857">
      <c r="D1857" s="2" t="n"/>
      <c r="E1857" s="3" t="n"/>
      <c r="F1857" s="3" t="n"/>
      <c r="G1857" s="3" t="n"/>
      <c r="H1857" s="4" t="n"/>
      <c r="L1857" s="2" t="n"/>
      <c r="N1857" s="2" t="n"/>
    </row>
    <row r="1858">
      <c r="D1858" s="2" t="n"/>
      <c r="E1858" s="3" t="n"/>
      <c r="F1858" s="3" t="n"/>
      <c r="G1858" s="3" t="n"/>
      <c r="H1858" s="4" t="n"/>
      <c r="L1858" s="2" t="n"/>
      <c r="N1858" s="2" t="n"/>
    </row>
    <row r="1859">
      <c r="D1859" s="2" t="n"/>
      <c r="E1859" s="3" t="n"/>
      <c r="F1859" s="3" t="n"/>
      <c r="G1859" s="3" t="n"/>
      <c r="H1859" s="4" t="n"/>
      <c r="L1859" s="2" t="n"/>
      <c r="N1859" s="2" t="n"/>
    </row>
    <row r="1860">
      <c r="D1860" s="2" t="n"/>
      <c r="E1860" s="3" t="n"/>
      <c r="F1860" s="3" t="n"/>
      <c r="G1860" s="3" t="n"/>
      <c r="H1860" s="4" t="n"/>
      <c r="L1860" s="2" t="n"/>
      <c r="N1860" s="2" t="n"/>
    </row>
    <row r="1861">
      <c r="D1861" s="2" t="n"/>
      <c r="E1861" s="3" t="n"/>
      <c r="F1861" s="3" t="n"/>
      <c r="G1861" s="3" t="n"/>
      <c r="H1861" s="4" t="n"/>
      <c r="L1861" s="2" t="n"/>
      <c r="N1861" s="2" t="n"/>
    </row>
    <row r="1862">
      <c r="D1862" s="2" t="n"/>
      <c r="E1862" s="3" t="n"/>
      <c r="F1862" s="3" t="n"/>
      <c r="G1862" s="3" t="n"/>
      <c r="H1862" s="4" t="n"/>
      <c r="L1862" s="2" t="n"/>
      <c r="N1862" s="2" t="n"/>
    </row>
    <row r="1863">
      <c r="D1863" s="2" t="n"/>
      <c r="E1863" s="3" t="n"/>
      <c r="F1863" s="3" t="n"/>
      <c r="G1863" s="3" t="n"/>
      <c r="H1863" s="4" t="n"/>
      <c r="L1863" s="2" t="n"/>
      <c r="N1863" s="2" t="n"/>
    </row>
    <row r="1864">
      <c r="D1864" s="2" t="n"/>
      <c r="E1864" s="3" t="n"/>
      <c r="F1864" s="3" t="n"/>
      <c r="G1864" s="3" t="n"/>
      <c r="H1864" s="4" t="n"/>
      <c r="L1864" s="2" t="n"/>
      <c r="N1864" s="2" t="n"/>
    </row>
    <row r="1865">
      <c r="D1865" s="2" t="n"/>
      <c r="E1865" s="3" t="n"/>
      <c r="F1865" s="3" t="n"/>
      <c r="G1865" s="3" t="n"/>
      <c r="H1865" s="4" t="n"/>
      <c r="L1865" s="2" t="n"/>
      <c r="N1865" s="2" t="n"/>
    </row>
    <row r="1866">
      <c r="D1866" s="2" t="n"/>
      <c r="E1866" s="3" t="n"/>
      <c r="F1866" s="3" t="n"/>
      <c r="G1866" s="3" t="n"/>
      <c r="H1866" s="4" t="n"/>
      <c r="L1866" s="2" t="n"/>
      <c r="N1866" s="2" t="n"/>
    </row>
    <row r="1867">
      <c r="D1867" s="2" t="n"/>
      <c r="E1867" s="3" t="n"/>
      <c r="F1867" s="3" t="n"/>
      <c r="G1867" s="3" t="n"/>
      <c r="H1867" s="4" t="n"/>
      <c r="L1867" s="2" t="n"/>
      <c r="N1867" s="2" t="n"/>
    </row>
    <row r="1868">
      <c r="D1868" s="2" t="n"/>
      <c r="E1868" s="3" t="n"/>
      <c r="F1868" s="3" t="n"/>
      <c r="G1868" s="3" t="n"/>
      <c r="H1868" s="4" t="n"/>
      <c r="L1868" s="2" t="n"/>
      <c r="N1868" s="2" t="n"/>
    </row>
    <row r="1869">
      <c r="D1869" s="2" t="n"/>
      <c r="E1869" s="3" t="n"/>
      <c r="F1869" s="3" t="n"/>
      <c r="G1869" s="3" t="n"/>
      <c r="H1869" s="4" t="n"/>
      <c r="L1869" s="2" t="n"/>
      <c r="N1869" s="2" t="n"/>
    </row>
    <row r="1870">
      <c r="D1870" s="2" t="n"/>
      <c r="E1870" s="3" t="n"/>
      <c r="F1870" s="3" t="n"/>
      <c r="G1870" s="3" t="n"/>
      <c r="H1870" s="4" t="n"/>
      <c r="L1870" s="2" t="n"/>
      <c r="N1870" s="2" t="n"/>
    </row>
    <row r="1871">
      <c r="D1871" s="2" t="n"/>
      <c r="E1871" s="3" t="n"/>
      <c r="F1871" s="3" t="n"/>
      <c r="G1871" s="3" t="n"/>
      <c r="H1871" s="4" t="n"/>
      <c r="L1871" s="2" t="n"/>
      <c r="N1871" s="2" t="n"/>
    </row>
    <row r="1872">
      <c r="D1872" s="2" t="n"/>
      <c r="E1872" s="3" t="n"/>
      <c r="F1872" s="3" t="n"/>
      <c r="G1872" s="3" t="n"/>
      <c r="H1872" s="4" t="n"/>
      <c r="L1872" s="2" t="n"/>
      <c r="N1872" s="2" t="n"/>
    </row>
    <row r="1873">
      <c r="D1873" s="2" t="n"/>
      <c r="E1873" s="3" t="n"/>
      <c r="F1873" s="3" t="n"/>
      <c r="G1873" s="3" t="n"/>
      <c r="H1873" s="4" t="n"/>
      <c r="L1873" s="2" t="n"/>
      <c r="N1873" s="2" t="n"/>
    </row>
    <row r="1874">
      <c r="D1874" s="2" t="n"/>
      <c r="E1874" s="3" t="n"/>
      <c r="F1874" s="3" t="n"/>
      <c r="G1874" s="3" t="n"/>
      <c r="H1874" s="4" t="n"/>
      <c r="L1874" s="2" t="n"/>
      <c r="N1874" s="2" t="n"/>
    </row>
    <row r="1875">
      <c r="D1875" s="2" t="n"/>
      <c r="E1875" s="3" t="n"/>
      <c r="F1875" s="3" t="n"/>
      <c r="G1875" s="3" t="n"/>
      <c r="H1875" s="4" t="n"/>
      <c r="L1875" s="2" t="n"/>
      <c r="N1875" s="2" t="n"/>
    </row>
    <row r="1876">
      <c r="D1876" s="2" t="n"/>
      <c r="E1876" s="3" t="n"/>
      <c r="F1876" s="3" t="n"/>
      <c r="G1876" s="3" t="n"/>
      <c r="H1876" s="4" t="n"/>
      <c r="L1876" s="2" t="n"/>
      <c r="N1876" s="2" t="n"/>
    </row>
    <row r="1877">
      <c r="D1877" s="2" t="n"/>
      <c r="E1877" s="3" t="n"/>
      <c r="F1877" s="3" t="n"/>
      <c r="G1877" s="3" t="n"/>
      <c r="H1877" s="4" t="n"/>
      <c r="L1877" s="2" t="n"/>
      <c r="N1877" s="2" t="n"/>
    </row>
    <row r="1878">
      <c r="D1878" s="2" t="n"/>
      <c r="E1878" s="3" t="n"/>
      <c r="F1878" s="3" t="n"/>
      <c r="G1878" s="3" t="n"/>
      <c r="H1878" s="4" t="n"/>
      <c r="L1878" s="2" t="n"/>
      <c r="N1878" s="2" t="n"/>
    </row>
    <row r="1879">
      <c r="D1879" s="2" t="n"/>
      <c r="E1879" s="3" t="n"/>
      <c r="F1879" s="3" t="n"/>
      <c r="G1879" s="3" t="n"/>
      <c r="H1879" s="4" t="n"/>
      <c r="L1879" s="2" t="n"/>
      <c r="N1879" s="2" t="n"/>
    </row>
    <row r="1880">
      <c r="D1880" s="2" t="n"/>
      <c r="E1880" s="3" t="n"/>
      <c r="F1880" s="3" t="n"/>
      <c r="G1880" s="3" t="n"/>
      <c r="H1880" s="4" t="n"/>
      <c r="L1880" s="2" t="n"/>
      <c r="N1880" s="2" t="n"/>
    </row>
    <row r="1881">
      <c r="D1881" s="2" t="n"/>
      <c r="E1881" s="3" t="n"/>
      <c r="F1881" s="3" t="n"/>
      <c r="G1881" s="3" t="n"/>
      <c r="H1881" s="4" t="n"/>
      <c r="L1881" s="2" t="n"/>
      <c r="N1881" s="2" t="n"/>
    </row>
    <row r="1882">
      <c r="D1882" s="2" t="n"/>
      <c r="E1882" s="3" t="n"/>
      <c r="F1882" s="3" t="n"/>
      <c r="G1882" s="3" t="n"/>
      <c r="H1882" s="4" t="n"/>
      <c r="L1882" s="2" t="n"/>
      <c r="N1882" s="2" t="n"/>
    </row>
    <row r="1883">
      <c r="D1883" s="2" t="n"/>
      <c r="E1883" s="3" t="n"/>
      <c r="F1883" s="3" t="n"/>
      <c r="G1883" s="3" t="n"/>
      <c r="H1883" s="4" t="n"/>
      <c r="L1883" s="2" t="n"/>
      <c r="N1883" s="2" t="n"/>
    </row>
    <row r="1884">
      <c r="D1884" s="2" t="n"/>
      <c r="E1884" s="3" t="n"/>
      <c r="F1884" s="3" t="n"/>
      <c r="G1884" s="3" t="n"/>
      <c r="H1884" s="4" t="n"/>
      <c r="L1884" s="2" t="n"/>
      <c r="N1884" s="2" t="n"/>
    </row>
    <row r="1885">
      <c r="D1885" s="2" t="n"/>
      <c r="E1885" s="3" t="n"/>
      <c r="F1885" s="3" t="n"/>
      <c r="G1885" s="3" t="n"/>
      <c r="H1885" s="4" t="n"/>
      <c r="L1885" s="2" t="n"/>
      <c r="N1885" s="2" t="n"/>
    </row>
    <row r="1886">
      <c r="D1886" s="2" t="n"/>
      <c r="E1886" s="3" t="n"/>
      <c r="F1886" s="3" t="n"/>
      <c r="G1886" s="3" t="n"/>
      <c r="H1886" s="4" t="n"/>
      <c r="L1886" s="2" t="n"/>
      <c r="N1886" s="2" t="n"/>
    </row>
    <row r="1887">
      <c r="D1887" s="2" t="n"/>
      <c r="E1887" s="3" t="n"/>
      <c r="F1887" s="3" t="n"/>
      <c r="G1887" s="3" t="n"/>
      <c r="H1887" s="4" t="n"/>
      <c r="L1887" s="2" t="n"/>
      <c r="N1887" s="2" t="n"/>
    </row>
    <row r="1888">
      <c r="D1888" s="2" t="n"/>
      <c r="E1888" s="3" t="n"/>
      <c r="F1888" s="3" t="n"/>
      <c r="G1888" s="3" t="n"/>
      <c r="H1888" s="4" t="n"/>
      <c r="L1888" s="2" t="n"/>
      <c r="N1888" s="2" t="n"/>
    </row>
    <row r="1889">
      <c r="D1889" s="2" t="n"/>
      <c r="E1889" s="3" t="n"/>
      <c r="F1889" s="3" t="n"/>
      <c r="G1889" s="3" t="n"/>
      <c r="H1889" s="4" t="n"/>
      <c r="L1889" s="2" t="n"/>
      <c r="N1889" s="2" t="n"/>
    </row>
    <row r="1890">
      <c r="D1890" s="2" t="n"/>
      <c r="E1890" s="3" t="n"/>
      <c r="F1890" s="3" t="n"/>
      <c r="G1890" s="3" t="n"/>
      <c r="H1890" s="4" t="n"/>
      <c r="L1890" s="2" t="n"/>
      <c r="N1890" s="2" t="n"/>
    </row>
    <row r="1891">
      <c r="D1891" s="2" t="n"/>
      <c r="E1891" s="3" t="n"/>
      <c r="F1891" s="3" t="n"/>
      <c r="G1891" s="3" t="n"/>
      <c r="H1891" s="4" t="n"/>
      <c r="L1891" s="2" t="n"/>
      <c r="N1891" s="2" t="n"/>
    </row>
    <row r="1892">
      <c r="D1892" s="2" t="n"/>
      <c r="E1892" s="3" t="n"/>
      <c r="F1892" s="3" t="n"/>
      <c r="G1892" s="3" t="n"/>
      <c r="H1892" s="4" t="n"/>
      <c r="L1892" s="2" t="n"/>
      <c r="N1892" s="2" t="n"/>
    </row>
    <row r="1893">
      <c r="D1893" s="2" t="n"/>
      <c r="E1893" s="3" t="n"/>
      <c r="F1893" s="3" t="n"/>
      <c r="G1893" s="3" t="n"/>
      <c r="H1893" s="4" t="n"/>
      <c r="L1893" s="2" t="n"/>
      <c r="N1893" s="2" t="n"/>
    </row>
    <row r="1894">
      <c r="D1894" s="2" t="n"/>
      <c r="E1894" s="3" t="n"/>
      <c r="F1894" s="3" t="n"/>
      <c r="G1894" s="3" t="n"/>
      <c r="H1894" s="4" t="n"/>
      <c r="L1894" s="2" t="n"/>
      <c r="N1894" s="2" t="n"/>
    </row>
    <row r="1895">
      <c r="D1895" s="2" t="n"/>
      <c r="E1895" s="3" t="n"/>
      <c r="F1895" s="3" t="n"/>
      <c r="G1895" s="3" t="n"/>
      <c r="H1895" s="4" t="n"/>
      <c r="L1895" s="2" t="n"/>
      <c r="N1895" s="2" t="n"/>
    </row>
    <row r="1896">
      <c r="D1896" s="2" t="n"/>
      <c r="E1896" s="3" t="n"/>
      <c r="F1896" s="3" t="n"/>
      <c r="G1896" s="3" t="n"/>
      <c r="H1896" s="4" t="n"/>
      <c r="L1896" s="2" t="n"/>
      <c r="N1896" s="2" t="n"/>
    </row>
    <row r="1897">
      <c r="D1897" s="2" t="n"/>
      <c r="E1897" s="3" t="n"/>
      <c r="F1897" s="3" t="n"/>
      <c r="G1897" s="3" t="n"/>
      <c r="H1897" s="4" t="n"/>
      <c r="L1897" s="2" t="n"/>
      <c r="N1897" s="2" t="n"/>
    </row>
    <row r="1898">
      <c r="D1898" s="2" t="n"/>
      <c r="E1898" s="3" t="n"/>
      <c r="F1898" s="3" t="n"/>
      <c r="G1898" s="3" t="n"/>
      <c r="H1898" s="4" t="n"/>
      <c r="L1898" s="2" t="n"/>
      <c r="N1898" s="2" t="n"/>
    </row>
    <row r="1899">
      <c r="D1899" s="2" t="n"/>
      <c r="E1899" s="3" t="n"/>
      <c r="F1899" s="3" t="n"/>
      <c r="G1899" s="3" t="n"/>
      <c r="H1899" s="4" t="n"/>
      <c r="L1899" s="2" t="n"/>
      <c r="N1899" s="2" t="n"/>
    </row>
    <row r="1900">
      <c r="D1900" s="2" t="n"/>
      <c r="E1900" s="3" t="n"/>
      <c r="F1900" s="3" t="n"/>
      <c r="G1900" s="3" t="n"/>
      <c r="H1900" s="4" t="n"/>
      <c r="L1900" s="2" t="n"/>
      <c r="N1900" s="2" t="n"/>
    </row>
    <row r="1901">
      <c r="D1901" s="2" t="n"/>
      <c r="E1901" s="3" t="n"/>
      <c r="F1901" s="3" t="n"/>
      <c r="G1901" s="3" t="n"/>
      <c r="H1901" s="4" t="n"/>
      <c r="L1901" s="2" t="n"/>
      <c r="N1901" s="2" t="n"/>
    </row>
    <row r="1902">
      <c r="D1902" s="2" t="n"/>
      <c r="E1902" s="3" t="n"/>
      <c r="F1902" s="3" t="n"/>
      <c r="G1902" s="3" t="n"/>
      <c r="H1902" s="4" t="n"/>
      <c r="L1902" s="2" t="n"/>
      <c r="N1902" s="2" t="n"/>
    </row>
    <row r="1903">
      <c r="D1903" s="2" t="n"/>
      <c r="E1903" s="3" t="n"/>
      <c r="F1903" s="3" t="n"/>
      <c r="G1903" s="3" t="n"/>
      <c r="H1903" s="4" t="n"/>
      <c r="L1903" s="2" t="n"/>
      <c r="N1903" s="2" t="n"/>
    </row>
    <row r="1904">
      <c r="D1904" s="2" t="n"/>
      <c r="E1904" s="3" t="n"/>
      <c r="F1904" s="3" t="n"/>
      <c r="G1904" s="3" t="n"/>
      <c r="H1904" s="4" t="n"/>
      <c r="L1904" s="2" t="n"/>
      <c r="N1904" s="2" t="n"/>
    </row>
    <row r="1905">
      <c r="D1905" s="2" t="n"/>
      <c r="E1905" s="3" t="n"/>
      <c r="F1905" s="3" t="n"/>
      <c r="G1905" s="3" t="n"/>
      <c r="H1905" s="4" t="n"/>
      <c r="L1905" s="2" t="n"/>
      <c r="N1905" s="2" t="n"/>
    </row>
    <row r="1906">
      <c r="D1906" s="2" t="n"/>
      <c r="E1906" s="3" t="n"/>
      <c r="F1906" s="3" t="n"/>
      <c r="G1906" s="3" t="n"/>
      <c r="H1906" s="4" t="n"/>
      <c r="L1906" s="2" t="n"/>
      <c r="N1906" s="2" t="n"/>
    </row>
    <row r="1907">
      <c r="D1907" s="2" t="n"/>
      <c r="E1907" s="3" t="n"/>
      <c r="F1907" s="3" t="n"/>
      <c r="G1907" s="3" t="n"/>
      <c r="H1907" s="4" t="n"/>
      <c r="L1907" s="2" t="n"/>
      <c r="N1907" s="2" t="n"/>
    </row>
    <row r="1908">
      <c r="D1908" s="2" t="n"/>
      <c r="E1908" s="3" t="n"/>
      <c r="F1908" s="3" t="n"/>
      <c r="G1908" s="3" t="n"/>
      <c r="H1908" s="4" t="n"/>
      <c r="L1908" s="2" t="n"/>
      <c r="N1908" s="2" t="n"/>
    </row>
    <row r="1909">
      <c r="D1909" s="2" t="n"/>
      <c r="E1909" s="3" t="n"/>
      <c r="F1909" s="3" t="n"/>
      <c r="G1909" s="3" t="n"/>
      <c r="H1909" s="4" t="n"/>
      <c r="L1909" s="2" t="n"/>
      <c r="N1909" s="2" t="n"/>
    </row>
    <row r="1910">
      <c r="D1910" s="2" t="n"/>
      <c r="E1910" s="3" t="n"/>
      <c r="F1910" s="3" t="n"/>
      <c r="G1910" s="3" t="n"/>
      <c r="H1910" s="4" t="n"/>
      <c r="L1910" s="2" t="n"/>
      <c r="N1910" s="2" t="n"/>
    </row>
    <row r="1911">
      <c r="D1911" s="2" t="n"/>
      <c r="E1911" s="3" t="n"/>
      <c r="F1911" s="3" t="n"/>
      <c r="G1911" s="3" t="n"/>
      <c r="H1911" s="4" t="n"/>
      <c r="L1911" s="2" t="n"/>
      <c r="N1911" s="2" t="n"/>
    </row>
    <row r="1912">
      <c r="D1912" s="2" t="n"/>
      <c r="E1912" s="3" t="n"/>
      <c r="F1912" s="3" t="n"/>
      <c r="G1912" s="3" t="n"/>
      <c r="H1912" s="4" t="n"/>
      <c r="L1912" s="2" t="n"/>
      <c r="N1912" s="2" t="n"/>
    </row>
    <row r="1913">
      <c r="D1913" s="2" t="n"/>
      <c r="E1913" s="3" t="n"/>
      <c r="F1913" s="3" t="n"/>
      <c r="G1913" s="3" t="n"/>
      <c r="H1913" s="4" t="n"/>
      <c r="L1913" s="2" t="n"/>
      <c r="N1913" s="2" t="n"/>
    </row>
    <row r="1914">
      <c r="D1914" s="2" t="n"/>
      <c r="E1914" s="3" t="n"/>
      <c r="F1914" s="3" t="n"/>
      <c r="G1914" s="3" t="n"/>
      <c r="H1914" s="4" t="n"/>
      <c r="L1914" s="2" t="n"/>
      <c r="N1914" s="2" t="n"/>
    </row>
    <row r="1915">
      <c r="D1915" s="2" t="n"/>
      <c r="E1915" s="3" t="n"/>
      <c r="F1915" s="3" t="n"/>
      <c r="G1915" s="3" t="n"/>
      <c r="H1915" s="4" t="n"/>
      <c r="L1915" s="2" t="n"/>
      <c r="N1915" s="2" t="n"/>
    </row>
    <row r="1916">
      <c r="D1916" s="2" t="n"/>
      <c r="E1916" s="3" t="n"/>
      <c r="F1916" s="3" t="n"/>
      <c r="G1916" s="3" t="n"/>
      <c r="H1916" s="4" t="n"/>
      <c r="L1916" s="2" t="n"/>
      <c r="N1916" s="2" t="n"/>
    </row>
    <row r="1917">
      <c r="D1917" s="2" t="n"/>
      <c r="E1917" s="3" t="n"/>
      <c r="F1917" s="3" t="n"/>
      <c r="G1917" s="3" t="n"/>
      <c r="H1917" s="4" t="n"/>
      <c r="L1917" s="2" t="n"/>
      <c r="N1917" s="2" t="n"/>
    </row>
    <row r="1918">
      <c r="D1918" s="2" t="n"/>
      <c r="E1918" s="3" t="n"/>
      <c r="F1918" s="3" t="n"/>
      <c r="G1918" s="3" t="n"/>
      <c r="H1918" s="4" t="n"/>
      <c r="L1918" s="2" t="n"/>
      <c r="N1918" s="2" t="n"/>
    </row>
    <row r="1919">
      <c r="D1919" s="2" t="n"/>
      <c r="E1919" s="3" t="n"/>
      <c r="F1919" s="3" t="n"/>
      <c r="G1919" s="3" t="n"/>
      <c r="H1919" s="4" t="n"/>
      <c r="L1919" s="2" t="n"/>
      <c r="N1919" s="2" t="n"/>
    </row>
    <row r="1920">
      <c r="D1920" s="2" t="n"/>
      <c r="E1920" s="3" t="n"/>
      <c r="F1920" s="3" t="n"/>
      <c r="G1920" s="3" t="n"/>
      <c r="H1920" s="4" t="n"/>
      <c r="L1920" s="2" t="n"/>
      <c r="N1920" s="2" t="n"/>
    </row>
    <row r="1921">
      <c r="D1921" s="2" t="n"/>
      <c r="E1921" s="3" t="n"/>
      <c r="F1921" s="3" t="n"/>
      <c r="G1921" s="3" t="n"/>
      <c r="H1921" s="4" t="n"/>
      <c r="L1921" s="2" t="n"/>
      <c r="N1921" s="2" t="n"/>
    </row>
    <row r="1922">
      <c r="D1922" s="2" t="n"/>
      <c r="E1922" s="3" t="n"/>
      <c r="F1922" s="3" t="n"/>
      <c r="G1922" s="3" t="n"/>
      <c r="H1922" s="4" t="n"/>
      <c r="L1922" s="2" t="n"/>
      <c r="N1922" s="2" t="n"/>
    </row>
    <row r="1923">
      <c r="D1923" s="2" t="n"/>
      <c r="E1923" s="3" t="n"/>
      <c r="F1923" s="3" t="n"/>
      <c r="G1923" s="3" t="n"/>
      <c r="H1923" s="4" t="n"/>
      <c r="L1923" s="2" t="n"/>
      <c r="N1923" s="2" t="n"/>
    </row>
    <row r="1924">
      <c r="D1924" s="2" t="n"/>
      <c r="E1924" s="3" t="n"/>
      <c r="F1924" s="3" t="n"/>
      <c r="G1924" s="3" t="n"/>
      <c r="H1924" s="4" t="n"/>
      <c r="L1924" s="2" t="n"/>
      <c r="N1924" s="2" t="n"/>
    </row>
    <row r="1925">
      <c r="D1925" s="2" t="n"/>
      <c r="E1925" s="3" t="n"/>
      <c r="F1925" s="3" t="n"/>
      <c r="G1925" s="3" t="n"/>
      <c r="H1925" s="4" t="n"/>
      <c r="L1925" s="2" t="n"/>
      <c r="N1925" s="2" t="n"/>
    </row>
    <row r="1926">
      <c r="D1926" s="2" t="n"/>
      <c r="E1926" s="3" t="n"/>
      <c r="F1926" s="3" t="n"/>
      <c r="G1926" s="3" t="n"/>
      <c r="H1926" s="4" t="n"/>
      <c r="L1926" s="2" t="n"/>
      <c r="N1926" s="2" t="n"/>
    </row>
    <row r="1927">
      <c r="D1927" s="2" t="n"/>
      <c r="E1927" s="3" t="n"/>
      <c r="F1927" s="3" t="n"/>
      <c r="G1927" s="3" t="n"/>
      <c r="H1927" s="4" t="n"/>
      <c r="L1927" s="2" t="n"/>
      <c r="N1927" s="2" t="n"/>
    </row>
    <row r="1928">
      <c r="D1928" s="2" t="n"/>
      <c r="E1928" s="3" t="n"/>
      <c r="F1928" s="3" t="n"/>
      <c r="G1928" s="3" t="n"/>
      <c r="H1928" s="4" t="n"/>
      <c r="L1928" s="2" t="n"/>
      <c r="N1928" s="2" t="n"/>
    </row>
    <row r="1929">
      <c r="D1929" s="2" t="n"/>
      <c r="E1929" s="3" t="n"/>
      <c r="F1929" s="3" t="n"/>
      <c r="G1929" s="3" t="n"/>
      <c r="H1929" s="4" t="n"/>
      <c r="L1929" s="2" t="n"/>
      <c r="N1929" s="2" t="n"/>
    </row>
    <row r="1930">
      <c r="D1930" s="2" t="n"/>
      <c r="E1930" s="3" t="n"/>
      <c r="F1930" s="3" t="n"/>
      <c r="G1930" s="3" t="n"/>
      <c r="H1930" s="4" t="n"/>
      <c r="L1930" s="2" t="n"/>
      <c r="N1930" s="2" t="n"/>
    </row>
    <row r="1931">
      <c r="D1931" s="2" t="n"/>
      <c r="E1931" s="3" t="n"/>
      <c r="F1931" s="3" t="n"/>
      <c r="G1931" s="3" t="n"/>
      <c r="H1931" s="4" t="n"/>
      <c r="L1931" s="2" t="n"/>
      <c r="N1931" s="2" t="n"/>
    </row>
    <row r="1932">
      <c r="D1932" s="2" t="n"/>
      <c r="E1932" s="3" t="n"/>
      <c r="F1932" s="3" t="n"/>
      <c r="G1932" s="3" t="n"/>
      <c r="H1932" s="4" t="n"/>
      <c r="L1932" s="2" t="n"/>
      <c r="N1932" s="2" t="n"/>
    </row>
    <row r="1933">
      <c r="D1933" s="2" t="n"/>
      <c r="E1933" s="3" t="n"/>
      <c r="F1933" s="3" t="n"/>
      <c r="G1933" s="3" t="n"/>
      <c r="H1933" s="4" t="n"/>
      <c r="L1933" s="2" t="n"/>
      <c r="N1933" s="2" t="n"/>
    </row>
    <row r="1934">
      <c r="D1934" s="2" t="n"/>
      <c r="E1934" s="3" t="n"/>
      <c r="F1934" s="3" t="n"/>
      <c r="G1934" s="3" t="n"/>
      <c r="H1934" s="4" t="n"/>
      <c r="L1934" s="2" t="n"/>
      <c r="N1934" s="2" t="n"/>
    </row>
    <row r="1935">
      <c r="D1935" s="2" t="n"/>
      <c r="E1935" s="3" t="n"/>
      <c r="F1935" s="3" t="n"/>
      <c r="G1935" s="3" t="n"/>
      <c r="H1935" s="4" t="n"/>
      <c r="L1935" s="2" t="n"/>
      <c r="N1935" s="2" t="n"/>
    </row>
    <row r="1936">
      <c r="D1936" s="2" t="n"/>
      <c r="E1936" s="3" t="n"/>
      <c r="F1936" s="3" t="n"/>
      <c r="G1936" s="3" t="n"/>
      <c r="H1936" s="4" t="n"/>
      <c r="L1936" s="2" t="n"/>
      <c r="N1936" s="2" t="n"/>
    </row>
    <row r="1937">
      <c r="D1937" s="2" t="n"/>
      <c r="E1937" s="3" t="n"/>
      <c r="F1937" s="3" t="n"/>
      <c r="G1937" s="3" t="n"/>
      <c r="H1937" s="4" t="n"/>
      <c r="L1937" s="2" t="n"/>
      <c r="N1937" s="2" t="n"/>
    </row>
    <row r="1938">
      <c r="D1938" s="2" t="n"/>
      <c r="E1938" s="3" t="n"/>
      <c r="F1938" s="3" t="n"/>
      <c r="G1938" s="3" t="n"/>
      <c r="H1938" s="4" t="n"/>
      <c r="L1938" s="2" t="n"/>
      <c r="N1938" s="2" t="n"/>
    </row>
    <row r="1939">
      <c r="D1939" s="2" t="n"/>
      <c r="E1939" s="3" t="n"/>
      <c r="F1939" s="3" t="n"/>
      <c r="G1939" s="3" t="n"/>
      <c r="H1939" s="4" t="n"/>
      <c r="L1939" s="2" t="n"/>
      <c r="N1939" s="2" t="n"/>
    </row>
    <row r="1940">
      <c r="D1940" s="2" t="n"/>
      <c r="E1940" s="3" t="n"/>
      <c r="F1940" s="3" t="n"/>
      <c r="G1940" s="3" t="n"/>
      <c r="H1940" s="4" t="n"/>
      <c r="L1940" s="2" t="n"/>
      <c r="N1940" s="2" t="n"/>
    </row>
    <row r="1941">
      <c r="D1941" s="2" t="n"/>
      <c r="E1941" s="3" t="n"/>
      <c r="F1941" s="3" t="n"/>
      <c r="G1941" s="3" t="n"/>
      <c r="H1941" s="4" t="n"/>
      <c r="L1941" s="2" t="n"/>
      <c r="N1941" s="2" t="n"/>
    </row>
    <row r="1942">
      <c r="D1942" s="2" t="n"/>
      <c r="E1942" s="3" t="n"/>
      <c r="F1942" s="3" t="n"/>
      <c r="G1942" s="3" t="n"/>
      <c r="H1942" s="4" t="n"/>
      <c r="L1942" s="2" t="n"/>
      <c r="N1942" s="2" t="n"/>
    </row>
    <row r="1943">
      <c r="D1943" s="2" t="n"/>
      <c r="E1943" s="3" t="n"/>
      <c r="F1943" s="3" t="n"/>
      <c r="G1943" s="3" t="n"/>
      <c r="H1943" s="4" t="n"/>
      <c r="L1943" s="2" t="n"/>
      <c r="N1943" s="2" t="n"/>
    </row>
    <row r="1944">
      <c r="D1944" s="2" t="n"/>
      <c r="E1944" s="3" t="n"/>
      <c r="F1944" s="3" t="n"/>
      <c r="G1944" s="3" t="n"/>
      <c r="H1944" s="4" t="n"/>
      <c r="L1944" s="2" t="n"/>
      <c r="N1944" s="2" t="n"/>
    </row>
    <row r="1945">
      <c r="D1945" s="2" t="n"/>
      <c r="E1945" s="3" t="n"/>
      <c r="F1945" s="3" t="n"/>
      <c r="G1945" s="3" t="n"/>
      <c r="H1945" s="4" t="n"/>
      <c r="L1945" s="2" t="n"/>
      <c r="N1945" s="2" t="n"/>
    </row>
    <row r="1946">
      <c r="D1946" s="2" t="n"/>
      <c r="E1946" s="3" t="n"/>
      <c r="F1946" s="3" t="n"/>
      <c r="G1946" s="3" t="n"/>
      <c r="H1946" s="4" t="n"/>
      <c r="L1946" s="2" t="n"/>
      <c r="N1946" s="2" t="n"/>
    </row>
    <row r="1947">
      <c r="D1947" s="2" t="n"/>
      <c r="E1947" s="3" t="n"/>
      <c r="F1947" s="3" t="n"/>
      <c r="G1947" s="3" t="n"/>
      <c r="H1947" s="4" t="n"/>
      <c r="L1947" s="2" t="n"/>
      <c r="N1947" s="2" t="n"/>
    </row>
    <row r="1948">
      <c r="D1948" s="2" t="n"/>
      <c r="E1948" s="3" t="n"/>
      <c r="F1948" s="3" t="n"/>
      <c r="G1948" s="3" t="n"/>
      <c r="H1948" s="4" t="n"/>
      <c r="L1948" s="2" t="n"/>
      <c r="N1948" s="2" t="n"/>
    </row>
    <row r="1949">
      <c r="D1949" s="2" t="n"/>
      <c r="E1949" s="3" t="n"/>
      <c r="F1949" s="3" t="n"/>
      <c r="G1949" s="3" t="n"/>
      <c r="H1949" s="4" t="n"/>
      <c r="L1949" s="2" t="n"/>
      <c r="N1949" s="2" t="n"/>
    </row>
    <row r="1950">
      <c r="D1950" s="2" t="n"/>
      <c r="E1950" s="3" t="n"/>
      <c r="F1950" s="3" t="n"/>
      <c r="G1950" s="3" t="n"/>
      <c r="H1950" s="4" t="n"/>
      <c r="L1950" s="2" t="n"/>
      <c r="N1950" s="2" t="n"/>
    </row>
    <row r="1951">
      <c r="D1951" s="2" t="n"/>
      <c r="E1951" s="3" t="n"/>
      <c r="F1951" s="3" t="n"/>
      <c r="G1951" s="3" t="n"/>
      <c r="H1951" s="4" t="n"/>
      <c r="L1951" s="2" t="n"/>
      <c r="N1951" s="2" t="n"/>
    </row>
    <row r="1952">
      <c r="D1952" s="2" t="n"/>
      <c r="E1952" s="3" t="n"/>
      <c r="F1952" s="3" t="n"/>
      <c r="G1952" s="3" t="n"/>
      <c r="H1952" s="4" t="n"/>
      <c r="L1952" s="2" t="n"/>
      <c r="N1952" s="2" t="n"/>
    </row>
    <row r="1953">
      <c r="D1953" s="2" t="n"/>
      <c r="E1953" s="3" t="n"/>
      <c r="F1953" s="3" t="n"/>
      <c r="G1953" s="3" t="n"/>
      <c r="H1953" s="4" t="n"/>
      <c r="L1953" s="2" t="n"/>
      <c r="N1953" s="2" t="n"/>
    </row>
    <row r="1954">
      <c r="D1954" s="2" t="n"/>
      <c r="E1954" s="3" t="n"/>
      <c r="F1954" s="3" t="n"/>
      <c r="G1954" s="3" t="n"/>
      <c r="H1954" s="4" t="n"/>
      <c r="L1954" s="2" t="n"/>
      <c r="N1954" s="2" t="n"/>
    </row>
    <row r="1955">
      <c r="D1955" s="2" t="n"/>
      <c r="E1955" s="3" t="n"/>
      <c r="F1955" s="3" t="n"/>
      <c r="G1955" s="3" t="n"/>
      <c r="H1955" s="4" t="n"/>
      <c r="L1955" s="2" t="n"/>
      <c r="N1955" s="2" t="n"/>
    </row>
    <row r="1956">
      <c r="D1956" s="2" t="n"/>
      <c r="E1956" s="3" t="n"/>
      <c r="F1956" s="3" t="n"/>
      <c r="G1956" s="3" t="n"/>
      <c r="H1956" s="4" t="n"/>
      <c r="L1956" s="2" t="n"/>
      <c r="N1956" s="2" t="n"/>
    </row>
    <row r="1957">
      <c r="D1957" s="2" t="n"/>
      <c r="E1957" s="3" t="n"/>
      <c r="F1957" s="3" t="n"/>
      <c r="G1957" s="3" t="n"/>
      <c r="H1957" s="4" t="n"/>
      <c r="L1957" s="2" t="n"/>
      <c r="N1957" s="2" t="n"/>
    </row>
    <row r="1958">
      <c r="D1958" s="2" t="n"/>
      <c r="E1958" s="3" t="n"/>
      <c r="F1958" s="3" t="n"/>
      <c r="G1958" s="3" t="n"/>
      <c r="H1958" s="4" t="n"/>
      <c r="L1958" s="2" t="n"/>
      <c r="N1958" s="2" t="n"/>
    </row>
    <row r="1959">
      <c r="D1959" s="2" t="n"/>
      <c r="E1959" s="3" t="n"/>
      <c r="F1959" s="3" t="n"/>
      <c r="G1959" s="3" t="n"/>
      <c r="H1959" s="4" t="n"/>
      <c r="L1959" s="2" t="n"/>
      <c r="N1959" s="2" t="n"/>
    </row>
    <row r="1960">
      <c r="D1960" s="2" t="n"/>
      <c r="E1960" s="3" t="n"/>
      <c r="F1960" s="3" t="n"/>
      <c r="G1960" s="3" t="n"/>
      <c r="H1960" s="4" t="n"/>
      <c r="L1960" s="2" t="n"/>
      <c r="N1960" s="2" t="n"/>
    </row>
    <row r="1961">
      <c r="D1961" s="2" t="n"/>
      <c r="E1961" s="3" t="n"/>
      <c r="F1961" s="3" t="n"/>
      <c r="G1961" s="3" t="n"/>
      <c r="H1961" s="4" t="n"/>
      <c r="L1961" s="2" t="n"/>
      <c r="N1961" s="2" t="n"/>
    </row>
    <row r="1962">
      <c r="D1962" s="2" t="n"/>
      <c r="E1962" s="3" t="n"/>
      <c r="F1962" s="3" t="n"/>
      <c r="G1962" s="3" t="n"/>
      <c r="H1962" s="4" t="n"/>
      <c r="L1962" s="2" t="n"/>
      <c r="N1962" s="2" t="n"/>
    </row>
    <row r="1963">
      <c r="D1963" s="2" t="n"/>
      <c r="E1963" s="3" t="n"/>
      <c r="F1963" s="3" t="n"/>
      <c r="G1963" s="3" t="n"/>
      <c r="H1963" s="4" t="n"/>
      <c r="L1963" s="2" t="n"/>
      <c r="N1963" s="2" t="n"/>
    </row>
    <row r="1964">
      <c r="D1964" s="2" t="n"/>
      <c r="E1964" s="3" t="n"/>
      <c r="F1964" s="3" t="n"/>
      <c r="G1964" s="3" t="n"/>
      <c r="H1964" s="4" t="n"/>
      <c r="L1964" s="2" t="n"/>
      <c r="N1964" s="2" t="n"/>
    </row>
    <row r="1965">
      <c r="D1965" s="2" t="n"/>
      <c r="E1965" s="3" t="n"/>
      <c r="F1965" s="3" t="n"/>
      <c r="G1965" s="3" t="n"/>
      <c r="H1965" s="4" t="n"/>
      <c r="L1965" s="2" t="n"/>
      <c r="N1965" s="2" t="n"/>
    </row>
    <row r="1966">
      <c r="D1966" s="2" t="n"/>
      <c r="E1966" s="3" t="n"/>
      <c r="F1966" s="3" t="n"/>
      <c r="G1966" s="3" t="n"/>
      <c r="H1966" s="4" t="n"/>
      <c r="L1966" s="2" t="n"/>
      <c r="N1966" s="2" t="n"/>
    </row>
    <row r="1967">
      <c r="D1967" s="2" t="n"/>
      <c r="E1967" s="3" t="n"/>
      <c r="F1967" s="3" t="n"/>
      <c r="G1967" s="3" t="n"/>
      <c r="H1967" s="4" t="n"/>
      <c r="L1967" s="2" t="n"/>
      <c r="N1967" s="2" t="n"/>
    </row>
    <row r="1968">
      <c r="D1968" s="2" t="n"/>
      <c r="E1968" s="3" t="n"/>
      <c r="F1968" s="3" t="n"/>
      <c r="G1968" s="3" t="n"/>
      <c r="H1968" s="4" t="n"/>
      <c r="L1968" s="2" t="n"/>
      <c r="N1968" s="2" t="n"/>
    </row>
    <row r="1969">
      <c r="D1969" s="2" t="n"/>
      <c r="E1969" s="3" t="n"/>
      <c r="F1969" s="3" t="n"/>
      <c r="G1969" s="3" t="n"/>
      <c r="H1969" s="4" t="n"/>
      <c r="L1969" s="2" t="n"/>
      <c r="N1969" s="2" t="n"/>
    </row>
    <row r="1970">
      <c r="D1970" s="2" t="n"/>
      <c r="E1970" s="3" t="n"/>
      <c r="F1970" s="3" t="n"/>
      <c r="G1970" s="3" t="n"/>
      <c r="H1970" s="4" t="n"/>
      <c r="L1970" s="2" t="n"/>
      <c r="N1970" s="2" t="n"/>
    </row>
    <row r="1971">
      <c r="D1971" s="2" t="n"/>
      <c r="E1971" s="3" t="n"/>
      <c r="F1971" s="3" t="n"/>
      <c r="G1971" s="3" t="n"/>
      <c r="H1971" s="4" t="n"/>
      <c r="L1971" s="2" t="n"/>
      <c r="N1971" s="2" t="n"/>
    </row>
    <row r="1972">
      <c r="D1972" s="2" t="n"/>
      <c r="E1972" s="3" t="n"/>
      <c r="F1972" s="3" t="n"/>
      <c r="G1972" s="3" t="n"/>
      <c r="H1972" s="4" t="n"/>
      <c r="L1972" s="2" t="n"/>
      <c r="N1972" s="2" t="n"/>
    </row>
    <row r="1973">
      <c r="D1973" s="2" t="n"/>
      <c r="E1973" s="3" t="n"/>
      <c r="F1973" s="3" t="n"/>
      <c r="G1973" s="3" t="n"/>
      <c r="H1973" s="4" t="n"/>
      <c r="L1973" s="2" t="n"/>
      <c r="N1973" s="2" t="n"/>
    </row>
    <row r="1974">
      <c r="D1974" s="2" t="n"/>
      <c r="E1974" s="3" t="n"/>
      <c r="F1974" s="3" t="n"/>
      <c r="G1974" s="3" t="n"/>
      <c r="H1974" s="4" t="n"/>
      <c r="L1974" s="2" t="n"/>
      <c r="N1974" s="2" t="n"/>
    </row>
    <row r="1975">
      <c r="D1975" s="2" t="n"/>
      <c r="E1975" s="3" t="n"/>
      <c r="F1975" s="3" t="n"/>
      <c r="G1975" s="3" t="n"/>
      <c r="H1975" s="4" t="n"/>
      <c r="L1975" s="2" t="n"/>
      <c r="N1975" s="2" t="n"/>
    </row>
    <row r="1976">
      <c r="D1976" s="2" t="n"/>
      <c r="E1976" s="3" t="n"/>
      <c r="F1976" s="3" t="n"/>
      <c r="G1976" s="3" t="n"/>
      <c r="H1976" s="4" t="n"/>
      <c r="L1976" s="2" t="n"/>
      <c r="N1976" s="2" t="n"/>
    </row>
    <row r="1977">
      <c r="D1977" s="2" t="n"/>
      <c r="E1977" s="3" t="n"/>
      <c r="F1977" s="3" t="n"/>
      <c r="G1977" s="3" t="n"/>
      <c r="H1977" s="4" t="n"/>
      <c r="L1977" s="2" t="n"/>
      <c r="N1977" s="2" t="n"/>
    </row>
    <row r="1978">
      <c r="D1978" s="2" t="n"/>
      <c r="E1978" s="3" t="n"/>
      <c r="F1978" s="3" t="n"/>
      <c r="G1978" s="3" t="n"/>
      <c r="H1978" s="4" t="n"/>
      <c r="L1978" s="2" t="n"/>
      <c r="N1978" s="2" t="n"/>
    </row>
    <row r="1979">
      <c r="D1979" s="2" t="n"/>
      <c r="E1979" s="3" t="n"/>
      <c r="F1979" s="3" t="n"/>
      <c r="G1979" s="3" t="n"/>
      <c r="H1979" s="4" t="n"/>
      <c r="L1979" s="2" t="n"/>
      <c r="N1979" s="2" t="n"/>
    </row>
    <row r="1980">
      <c r="D1980" s="2" t="n"/>
      <c r="E1980" s="3" t="n"/>
      <c r="F1980" s="3" t="n"/>
      <c r="G1980" s="3" t="n"/>
      <c r="H1980" s="4" t="n"/>
      <c r="L1980" s="2" t="n"/>
      <c r="N1980" s="2" t="n"/>
    </row>
    <row r="1981">
      <c r="D1981" s="2" t="n"/>
      <c r="E1981" s="3" t="n"/>
      <c r="F1981" s="3" t="n"/>
      <c r="G1981" s="3" t="n"/>
      <c r="H1981" s="4" t="n"/>
      <c r="L1981" s="2" t="n"/>
      <c r="N1981" s="2" t="n"/>
    </row>
    <row r="1982">
      <c r="D1982" s="2" t="n"/>
      <c r="E1982" s="3" t="n"/>
      <c r="F1982" s="3" t="n"/>
      <c r="G1982" s="3" t="n"/>
      <c r="H1982" s="4" t="n"/>
      <c r="L1982" s="2" t="n"/>
      <c r="N1982" s="2" t="n"/>
    </row>
    <row r="1983">
      <c r="D1983" s="2" t="n"/>
      <c r="E1983" s="3" t="n"/>
      <c r="F1983" s="3" t="n"/>
      <c r="G1983" s="3" t="n"/>
      <c r="H1983" s="4" t="n"/>
      <c r="L1983" s="2" t="n"/>
      <c r="N1983" s="2" t="n"/>
    </row>
    <row r="1984">
      <c r="D1984" s="2" t="n"/>
      <c r="E1984" s="3" t="n"/>
      <c r="F1984" s="3" t="n"/>
      <c r="G1984" s="3" t="n"/>
      <c r="H1984" s="4" t="n"/>
      <c r="L1984" s="2" t="n"/>
      <c r="N1984" s="2" t="n"/>
    </row>
    <row r="1985">
      <c r="D1985" s="2" t="n"/>
      <c r="E1985" s="3" t="n"/>
      <c r="F1985" s="3" t="n"/>
      <c r="G1985" s="3" t="n"/>
      <c r="H1985" s="4" t="n"/>
      <c r="L1985" s="2" t="n"/>
      <c r="N1985" s="2" t="n"/>
    </row>
    <row r="1986">
      <c r="D1986" s="2" t="n"/>
      <c r="E1986" s="3" t="n"/>
      <c r="F1986" s="3" t="n"/>
      <c r="G1986" s="3" t="n"/>
      <c r="H1986" s="4" t="n"/>
      <c r="L1986" s="2" t="n"/>
      <c r="N1986" s="2" t="n"/>
    </row>
    <row r="1987">
      <c r="D1987" s="2" t="n"/>
      <c r="E1987" s="3" t="n"/>
      <c r="F1987" s="3" t="n"/>
      <c r="G1987" s="3" t="n"/>
      <c r="H1987" s="4" t="n"/>
      <c r="L1987" s="2" t="n"/>
      <c r="N1987" s="2" t="n"/>
    </row>
    <row r="1988">
      <c r="D1988" s="2" t="n"/>
      <c r="E1988" s="3" t="n"/>
      <c r="F1988" s="3" t="n"/>
      <c r="G1988" s="3" t="n"/>
      <c r="H1988" s="4" t="n"/>
      <c r="L1988" s="2" t="n"/>
      <c r="N1988" s="2" t="n"/>
    </row>
    <row r="1989">
      <c r="D1989" s="2" t="n"/>
      <c r="E1989" s="3" t="n"/>
      <c r="F1989" s="3" t="n"/>
      <c r="G1989" s="3" t="n"/>
      <c r="H1989" s="4" t="n"/>
      <c r="L1989" s="2" t="n"/>
      <c r="N1989" s="2" t="n"/>
    </row>
    <row r="1990">
      <c r="D1990" s="2" t="n"/>
      <c r="E1990" s="3" t="n"/>
      <c r="F1990" s="3" t="n"/>
      <c r="G1990" s="3" t="n"/>
      <c r="H1990" s="4" t="n"/>
      <c r="L1990" s="2" t="n"/>
      <c r="N1990" s="2" t="n"/>
    </row>
    <row r="1991">
      <c r="D1991" s="2" t="n"/>
      <c r="E1991" s="3" t="n"/>
      <c r="F1991" s="3" t="n"/>
      <c r="G1991" s="3" t="n"/>
      <c r="H1991" s="4" t="n"/>
      <c r="L1991" s="2" t="n"/>
      <c r="N1991" s="2" t="n"/>
    </row>
    <row r="1992">
      <c r="D1992" s="2" t="n"/>
      <c r="E1992" s="3" t="n"/>
      <c r="F1992" s="3" t="n"/>
      <c r="G1992" s="3" t="n"/>
      <c r="H1992" s="4" t="n"/>
      <c r="L1992" s="2" t="n"/>
      <c r="N1992" s="2" t="n"/>
    </row>
    <row r="1993">
      <c r="D1993" s="2" t="n"/>
      <c r="E1993" s="3" t="n"/>
      <c r="F1993" s="3" t="n"/>
      <c r="G1993" s="3" t="n"/>
      <c r="H1993" s="4" t="n"/>
      <c r="L1993" s="2" t="n"/>
      <c r="N1993" s="2" t="n"/>
    </row>
    <row r="1994">
      <c r="D1994" s="2" t="n"/>
      <c r="E1994" s="3" t="n"/>
      <c r="F1994" s="3" t="n"/>
      <c r="G1994" s="3" t="n"/>
      <c r="H1994" s="4" t="n"/>
      <c r="L1994" s="2" t="n"/>
      <c r="N1994" s="2" t="n"/>
    </row>
    <row r="1995">
      <c r="D1995" s="2" t="n"/>
      <c r="E1995" s="3" t="n"/>
      <c r="F1995" s="3" t="n"/>
      <c r="G1995" s="3" t="n"/>
      <c r="H1995" s="4" t="n"/>
      <c r="L1995" s="2" t="n"/>
      <c r="N1995" s="2" t="n"/>
    </row>
    <row r="1996">
      <c r="D1996" s="2" t="n"/>
      <c r="E1996" s="3" t="n"/>
      <c r="F1996" s="3" t="n"/>
      <c r="G1996" s="3" t="n"/>
      <c r="H1996" s="4" t="n"/>
      <c r="L1996" s="2" t="n"/>
      <c r="N1996" s="2" t="n"/>
    </row>
    <row r="1997">
      <c r="D1997" s="2" t="n"/>
      <c r="E1997" s="3" t="n"/>
      <c r="F1997" s="3" t="n"/>
      <c r="G1997" s="3" t="n"/>
      <c r="H1997" s="4" t="n"/>
      <c r="L1997" s="2" t="n"/>
      <c r="N1997" s="2" t="n"/>
    </row>
    <row r="1998">
      <c r="D1998" s="2" t="n"/>
      <c r="E1998" s="3" t="n"/>
      <c r="F1998" s="3" t="n"/>
      <c r="G1998" s="3" t="n"/>
      <c r="H1998" s="4" t="n"/>
      <c r="L1998" s="2" t="n"/>
      <c r="N1998" s="2" t="n"/>
    </row>
    <row r="1999">
      <c r="D1999" s="2" t="n"/>
      <c r="E1999" s="3" t="n"/>
      <c r="F1999" s="3" t="n"/>
      <c r="G1999" s="3" t="n"/>
      <c r="H1999" s="4" t="n"/>
      <c r="L1999" s="2" t="n"/>
      <c r="N1999" s="2" t="n"/>
    </row>
    <row r="2000">
      <c r="D2000" s="2" t="n"/>
      <c r="E2000" s="3" t="n"/>
      <c r="F2000" s="3" t="n"/>
      <c r="G2000" s="3" t="n"/>
      <c r="H2000" s="4" t="n"/>
      <c r="L2000" s="2" t="n"/>
      <c r="N2000" s="2" t="n"/>
    </row>
  </sheetData>
  <dataValidations count="3">
    <dataValidation sqref="K2:K2000" showDropDown="0" showInputMessage="0" showErrorMessage="1" allowBlank="1" errorTitle="Statut invalide" error="Choisissez : Payé | En attente | En retard | Annulé" type="list">
      <formula1>"Payé,En attente,En retard,Annulé"</formula1>
    </dataValidation>
    <dataValidation sqref="H2:H2000" showDropDown="0" showInputMessage="0" showErrorMessage="1" allowBlank="1" errorTitle="Taux invalide" error="Taux TVA français : 0 | 5.5 | 10 | 20" type="list">
      <formula1>"0,5.5,10,20"</formula1>
    </dataValidation>
    <dataValidation sqref="M2:M2000" showDropDown="0" showInputMessage="0" showErrorMessage="0" allowBlank="1" type="list">
      <formula1>"Manuel,Automatique"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N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20" customWidth="1" min="9" max="9"/>
    <col width="45" customWidth="1" min="10" max="10"/>
    <col width="16" customWidth="1" min="11" max="11"/>
    <col width="14" customWidth="1" min="12" max="12"/>
    <col width="18" customWidth="1" min="13" max="13"/>
    <col width="16" customWidth="1" min="14" max="14"/>
  </cols>
  <sheetData>
    <row r="1" ht="38" customHeight="1">
      <c r="A1" s="1" t="inlineStr">
        <is>
          <t>ID_Facture</t>
        </is>
      </c>
      <c r="B1" s="1" t="inlineStr">
        <is>
          <t>Fournisseur / Client</t>
        </is>
      </c>
      <c r="C1" s="1" t="inlineStr">
        <is>
          <t>Numéro_Facture</t>
        </is>
      </c>
      <c r="D1" s="1" t="inlineStr">
        <is>
          <t>Date_Emission</t>
        </is>
      </c>
      <c r="E1" s="1" t="inlineStr">
        <is>
          <t>Montant_HT</t>
        </is>
      </c>
      <c r="F1" s="1" t="inlineStr">
        <is>
          <t>Montant_TVA</t>
        </is>
      </c>
      <c r="G1" s="1" t="inlineStr">
        <is>
          <t>Montant_TTC</t>
        </is>
      </c>
      <c r="H1" s="1" t="inlineStr">
        <is>
          <t>Taux_TVA</t>
        </is>
      </c>
      <c r="I1" s="1" t="inlineStr">
        <is>
          <t>Catégorie</t>
        </is>
      </c>
      <c r="J1" s="1" t="inlineStr">
        <is>
          <t>Lien_PDF</t>
        </is>
      </c>
      <c r="K1" s="1" t="inlineStr">
        <is>
          <t>Statut_Paiement</t>
        </is>
      </c>
      <c r="L1" s="1" t="inlineStr">
        <is>
          <t>Date_Import</t>
        </is>
      </c>
      <c r="M1" s="1" t="inlineStr">
        <is>
          <t>Source_Extraction</t>
        </is>
      </c>
      <c r="N1" s="1" t="inlineStr">
        <is>
          <t>Date_Règlement</t>
        </is>
      </c>
    </row>
    <row r="2">
      <c r="D2" s="2" t="n"/>
      <c r="E2" s="3" t="n"/>
      <c r="F2" s="3" t="n"/>
      <c r="G2" s="3" t="n"/>
      <c r="H2" s="4" t="n"/>
      <c r="L2" s="2" t="n"/>
      <c r="N2" s="2" t="n"/>
    </row>
    <row r="3">
      <c r="D3" s="2" t="n"/>
      <c r="E3" s="3" t="n"/>
      <c r="F3" s="3" t="n"/>
      <c r="G3" s="3" t="n"/>
      <c r="H3" s="4" t="n"/>
      <c r="L3" s="2" t="n"/>
      <c r="N3" s="2" t="n"/>
    </row>
    <row r="4">
      <c r="D4" s="2" t="n"/>
      <c r="E4" s="3" t="n"/>
      <c r="F4" s="3" t="n"/>
      <c r="G4" s="3" t="n"/>
      <c r="H4" s="4" t="n"/>
      <c r="L4" s="2" t="n"/>
      <c r="N4" s="2" t="n"/>
    </row>
    <row r="5">
      <c r="D5" s="2" t="n"/>
      <c r="E5" s="3" t="n"/>
      <c r="F5" s="3" t="n"/>
      <c r="G5" s="3" t="n"/>
      <c r="H5" s="4" t="n"/>
      <c r="L5" s="2" t="n"/>
      <c r="N5" s="2" t="n"/>
    </row>
    <row r="6">
      <c r="D6" s="2" t="n"/>
      <c r="E6" s="3" t="n"/>
      <c r="F6" s="3" t="n"/>
      <c r="G6" s="3" t="n"/>
      <c r="H6" s="4" t="n"/>
      <c r="L6" s="2" t="n"/>
      <c r="N6" s="2" t="n"/>
    </row>
    <row r="7">
      <c r="D7" s="2" t="n"/>
      <c r="E7" s="3" t="n"/>
      <c r="F7" s="3" t="n"/>
      <c r="G7" s="3" t="n"/>
      <c r="H7" s="4" t="n"/>
      <c r="L7" s="2" t="n"/>
      <c r="N7" s="2" t="n"/>
    </row>
    <row r="8">
      <c r="D8" s="2" t="n"/>
      <c r="E8" s="3" t="n"/>
      <c r="F8" s="3" t="n"/>
      <c r="G8" s="3" t="n"/>
      <c r="H8" s="4" t="n"/>
      <c r="L8" s="2" t="n"/>
      <c r="N8" s="2" t="n"/>
    </row>
    <row r="9">
      <c r="D9" s="2" t="n"/>
      <c r="E9" s="3" t="n"/>
      <c r="F9" s="3" t="n"/>
      <c r="G9" s="3" t="n"/>
      <c r="H9" s="4" t="n"/>
      <c r="L9" s="2" t="n"/>
      <c r="N9" s="2" t="n"/>
    </row>
    <row r="10">
      <c r="D10" s="2" t="n"/>
      <c r="E10" s="3" t="n"/>
      <c r="F10" s="3" t="n"/>
      <c r="G10" s="3" t="n"/>
      <c r="H10" s="4" t="n"/>
      <c r="L10" s="2" t="n"/>
      <c r="N10" s="2" t="n"/>
    </row>
    <row r="11">
      <c r="D11" s="2" t="n"/>
      <c r="E11" s="3" t="n"/>
      <c r="F11" s="3" t="n"/>
      <c r="G11" s="3" t="n"/>
      <c r="H11" s="4" t="n"/>
      <c r="L11" s="2" t="n"/>
      <c r="N11" s="2" t="n"/>
    </row>
    <row r="12">
      <c r="D12" s="2" t="n"/>
      <c r="E12" s="3" t="n"/>
      <c r="F12" s="3" t="n"/>
      <c r="G12" s="3" t="n"/>
      <c r="H12" s="4" t="n"/>
      <c r="L12" s="2" t="n"/>
      <c r="N12" s="2" t="n"/>
    </row>
    <row r="13">
      <c r="D13" s="2" t="n"/>
      <c r="E13" s="3" t="n"/>
      <c r="F13" s="3" t="n"/>
      <c r="G13" s="3" t="n"/>
      <c r="H13" s="4" t="n"/>
      <c r="L13" s="2" t="n"/>
      <c r="N13" s="2" t="n"/>
    </row>
    <row r="14">
      <c r="D14" s="2" t="n"/>
      <c r="E14" s="3" t="n"/>
      <c r="F14" s="3" t="n"/>
      <c r="G14" s="3" t="n"/>
      <c r="H14" s="4" t="n"/>
      <c r="L14" s="2" t="n"/>
      <c r="N14" s="2" t="n"/>
    </row>
    <row r="15">
      <c r="D15" s="2" t="n"/>
      <c r="E15" s="3" t="n"/>
      <c r="F15" s="3" t="n"/>
      <c r="G15" s="3" t="n"/>
      <c r="H15" s="4" t="n"/>
      <c r="L15" s="2" t="n"/>
      <c r="N15" s="2" t="n"/>
    </row>
    <row r="16">
      <c r="D16" s="2" t="n"/>
      <c r="E16" s="3" t="n"/>
      <c r="F16" s="3" t="n"/>
      <c r="G16" s="3" t="n"/>
      <c r="H16" s="4" t="n"/>
      <c r="L16" s="2" t="n"/>
      <c r="N16" s="2" t="n"/>
    </row>
    <row r="17">
      <c r="D17" s="2" t="n"/>
      <c r="E17" s="3" t="n"/>
      <c r="F17" s="3" t="n"/>
      <c r="G17" s="3" t="n"/>
      <c r="H17" s="4" t="n"/>
      <c r="L17" s="2" t="n"/>
      <c r="N17" s="2" t="n"/>
    </row>
    <row r="18">
      <c r="D18" s="2" t="n"/>
      <c r="E18" s="3" t="n"/>
      <c r="F18" s="3" t="n"/>
      <c r="G18" s="3" t="n"/>
      <c r="H18" s="4" t="n"/>
      <c r="L18" s="2" t="n"/>
      <c r="N18" s="2" t="n"/>
    </row>
    <row r="19">
      <c r="D19" s="2" t="n"/>
      <c r="E19" s="3" t="n"/>
      <c r="F19" s="3" t="n"/>
      <c r="G19" s="3" t="n"/>
      <c r="H19" s="4" t="n"/>
      <c r="L19" s="2" t="n"/>
      <c r="N19" s="2" t="n"/>
    </row>
    <row r="20">
      <c r="D20" s="2" t="n"/>
      <c r="E20" s="3" t="n"/>
      <c r="F20" s="3" t="n"/>
      <c r="G20" s="3" t="n"/>
      <c r="H20" s="4" t="n"/>
      <c r="L20" s="2" t="n"/>
      <c r="N20" s="2" t="n"/>
    </row>
    <row r="21">
      <c r="D21" s="2" t="n"/>
      <c r="E21" s="3" t="n"/>
      <c r="F21" s="3" t="n"/>
      <c r="G21" s="3" t="n"/>
      <c r="H21" s="4" t="n"/>
      <c r="L21" s="2" t="n"/>
      <c r="N21" s="2" t="n"/>
    </row>
    <row r="22">
      <c r="D22" s="2" t="n"/>
      <c r="E22" s="3" t="n"/>
      <c r="F22" s="3" t="n"/>
      <c r="G22" s="3" t="n"/>
      <c r="H22" s="4" t="n"/>
      <c r="L22" s="2" t="n"/>
      <c r="N22" s="2" t="n"/>
    </row>
    <row r="23">
      <c r="D23" s="2" t="n"/>
      <c r="E23" s="3" t="n"/>
      <c r="F23" s="3" t="n"/>
      <c r="G23" s="3" t="n"/>
      <c r="H23" s="4" t="n"/>
      <c r="L23" s="2" t="n"/>
      <c r="N23" s="2" t="n"/>
    </row>
    <row r="24">
      <c r="D24" s="2" t="n"/>
      <c r="E24" s="3" t="n"/>
      <c r="F24" s="3" t="n"/>
      <c r="G24" s="3" t="n"/>
      <c r="H24" s="4" t="n"/>
      <c r="L24" s="2" t="n"/>
      <c r="N24" s="2" t="n"/>
    </row>
    <row r="25">
      <c r="D25" s="2" t="n"/>
      <c r="E25" s="3" t="n"/>
      <c r="F25" s="3" t="n"/>
      <c r="G25" s="3" t="n"/>
      <c r="H25" s="4" t="n"/>
      <c r="L25" s="2" t="n"/>
      <c r="N25" s="2" t="n"/>
    </row>
    <row r="26">
      <c r="D26" s="2" t="n"/>
      <c r="E26" s="3" t="n"/>
      <c r="F26" s="3" t="n"/>
      <c r="G26" s="3" t="n"/>
      <c r="H26" s="4" t="n"/>
      <c r="L26" s="2" t="n"/>
      <c r="N26" s="2" t="n"/>
    </row>
    <row r="27">
      <c r="D27" s="2" t="n"/>
      <c r="E27" s="3" t="n"/>
      <c r="F27" s="3" t="n"/>
      <c r="G27" s="3" t="n"/>
      <c r="H27" s="4" t="n"/>
      <c r="L27" s="2" t="n"/>
      <c r="N27" s="2" t="n"/>
    </row>
    <row r="28">
      <c r="D28" s="2" t="n"/>
      <c r="E28" s="3" t="n"/>
      <c r="F28" s="3" t="n"/>
      <c r="G28" s="3" t="n"/>
      <c r="H28" s="4" t="n"/>
      <c r="L28" s="2" t="n"/>
      <c r="N28" s="2" t="n"/>
    </row>
    <row r="29">
      <c r="D29" s="2" t="n"/>
      <c r="E29" s="3" t="n"/>
      <c r="F29" s="3" t="n"/>
      <c r="G29" s="3" t="n"/>
      <c r="H29" s="4" t="n"/>
      <c r="L29" s="2" t="n"/>
      <c r="N29" s="2" t="n"/>
    </row>
    <row r="30">
      <c r="D30" s="2" t="n"/>
      <c r="E30" s="3" t="n"/>
      <c r="F30" s="3" t="n"/>
      <c r="G30" s="3" t="n"/>
      <c r="H30" s="4" t="n"/>
      <c r="L30" s="2" t="n"/>
      <c r="N30" s="2" t="n"/>
    </row>
    <row r="31">
      <c r="D31" s="2" t="n"/>
      <c r="E31" s="3" t="n"/>
      <c r="F31" s="3" t="n"/>
      <c r="G31" s="3" t="n"/>
      <c r="H31" s="4" t="n"/>
      <c r="L31" s="2" t="n"/>
      <c r="N31" s="2" t="n"/>
    </row>
    <row r="32">
      <c r="D32" s="2" t="n"/>
      <c r="E32" s="3" t="n"/>
      <c r="F32" s="3" t="n"/>
      <c r="G32" s="3" t="n"/>
      <c r="H32" s="4" t="n"/>
      <c r="L32" s="2" t="n"/>
      <c r="N32" s="2" t="n"/>
    </row>
    <row r="33">
      <c r="D33" s="2" t="n"/>
      <c r="E33" s="3" t="n"/>
      <c r="F33" s="3" t="n"/>
      <c r="G33" s="3" t="n"/>
      <c r="H33" s="4" t="n"/>
      <c r="L33" s="2" t="n"/>
      <c r="N33" s="2" t="n"/>
    </row>
    <row r="34">
      <c r="D34" s="2" t="n"/>
      <c r="E34" s="3" t="n"/>
      <c r="F34" s="3" t="n"/>
      <c r="G34" s="3" t="n"/>
      <c r="H34" s="4" t="n"/>
      <c r="L34" s="2" t="n"/>
      <c r="N34" s="2" t="n"/>
    </row>
    <row r="35">
      <c r="D35" s="2" t="n"/>
      <c r="E35" s="3" t="n"/>
      <c r="F35" s="3" t="n"/>
      <c r="G35" s="3" t="n"/>
      <c r="H35" s="4" t="n"/>
      <c r="L35" s="2" t="n"/>
      <c r="N35" s="2" t="n"/>
    </row>
    <row r="36">
      <c r="D36" s="2" t="n"/>
      <c r="E36" s="3" t="n"/>
      <c r="F36" s="3" t="n"/>
      <c r="G36" s="3" t="n"/>
      <c r="H36" s="4" t="n"/>
      <c r="L36" s="2" t="n"/>
      <c r="N36" s="2" t="n"/>
    </row>
    <row r="37">
      <c r="D37" s="2" t="n"/>
      <c r="E37" s="3" t="n"/>
      <c r="F37" s="3" t="n"/>
      <c r="G37" s="3" t="n"/>
      <c r="H37" s="4" t="n"/>
      <c r="L37" s="2" t="n"/>
      <c r="N37" s="2" t="n"/>
    </row>
    <row r="38">
      <c r="D38" s="2" t="n"/>
      <c r="E38" s="3" t="n"/>
      <c r="F38" s="3" t="n"/>
      <c r="G38" s="3" t="n"/>
      <c r="H38" s="4" t="n"/>
      <c r="L38" s="2" t="n"/>
      <c r="N38" s="2" t="n"/>
    </row>
    <row r="39">
      <c r="D39" s="2" t="n"/>
      <c r="E39" s="3" t="n"/>
      <c r="F39" s="3" t="n"/>
      <c r="G39" s="3" t="n"/>
      <c r="H39" s="4" t="n"/>
      <c r="L39" s="2" t="n"/>
      <c r="N39" s="2" t="n"/>
    </row>
    <row r="40">
      <c r="D40" s="2" t="n"/>
      <c r="E40" s="3" t="n"/>
      <c r="F40" s="3" t="n"/>
      <c r="G40" s="3" t="n"/>
      <c r="H40" s="4" t="n"/>
      <c r="L40" s="2" t="n"/>
      <c r="N40" s="2" t="n"/>
    </row>
    <row r="41">
      <c r="D41" s="2" t="n"/>
      <c r="E41" s="3" t="n"/>
      <c r="F41" s="3" t="n"/>
      <c r="G41" s="3" t="n"/>
      <c r="H41" s="4" t="n"/>
      <c r="L41" s="2" t="n"/>
      <c r="N41" s="2" t="n"/>
    </row>
    <row r="42">
      <c r="D42" s="2" t="n"/>
      <c r="E42" s="3" t="n"/>
      <c r="F42" s="3" t="n"/>
      <c r="G42" s="3" t="n"/>
      <c r="H42" s="4" t="n"/>
      <c r="L42" s="2" t="n"/>
      <c r="N42" s="2" t="n"/>
    </row>
    <row r="43">
      <c r="D43" s="2" t="n"/>
      <c r="E43" s="3" t="n"/>
      <c r="F43" s="3" t="n"/>
      <c r="G43" s="3" t="n"/>
      <c r="H43" s="4" t="n"/>
      <c r="L43" s="2" t="n"/>
      <c r="N43" s="2" t="n"/>
    </row>
    <row r="44">
      <c r="D44" s="2" t="n"/>
      <c r="E44" s="3" t="n"/>
      <c r="F44" s="3" t="n"/>
      <c r="G44" s="3" t="n"/>
      <c r="H44" s="4" t="n"/>
      <c r="L44" s="2" t="n"/>
      <c r="N44" s="2" t="n"/>
    </row>
    <row r="45">
      <c r="D45" s="2" t="n"/>
      <c r="E45" s="3" t="n"/>
      <c r="F45" s="3" t="n"/>
      <c r="G45" s="3" t="n"/>
      <c r="H45" s="4" t="n"/>
      <c r="L45" s="2" t="n"/>
      <c r="N45" s="2" t="n"/>
    </row>
    <row r="46">
      <c r="D46" s="2" t="n"/>
      <c r="E46" s="3" t="n"/>
      <c r="F46" s="3" t="n"/>
      <c r="G46" s="3" t="n"/>
      <c r="H46" s="4" t="n"/>
      <c r="L46" s="2" t="n"/>
      <c r="N46" s="2" t="n"/>
    </row>
    <row r="47">
      <c r="D47" s="2" t="n"/>
      <c r="E47" s="3" t="n"/>
      <c r="F47" s="3" t="n"/>
      <c r="G47" s="3" t="n"/>
      <c r="H47" s="4" t="n"/>
      <c r="L47" s="2" t="n"/>
      <c r="N47" s="2" t="n"/>
    </row>
    <row r="48">
      <c r="D48" s="2" t="n"/>
      <c r="E48" s="3" t="n"/>
      <c r="F48" s="3" t="n"/>
      <c r="G48" s="3" t="n"/>
      <c r="H48" s="4" t="n"/>
      <c r="L48" s="2" t="n"/>
      <c r="N48" s="2" t="n"/>
    </row>
    <row r="49">
      <c r="D49" s="2" t="n"/>
      <c r="E49" s="3" t="n"/>
      <c r="F49" s="3" t="n"/>
      <c r="G49" s="3" t="n"/>
      <c r="H49" s="4" t="n"/>
      <c r="L49" s="2" t="n"/>
      <c r="N49" s="2" t="n"/>
    </row>
    <row r="50">
      <c r="D50" s="2" t="n"/>
      <c r="E50" s="3" t="n"/>
      <c r="F50" s="3" t="n"/>
      <c r="G50" s="3" t="n"/>
      <c r="H50" s="4" t="n"/>
      <c r="L50" s="2" t="n"/>
      <c r="N50" s="2" t="n"/>
    </row>
    <row r="51">
      <c r="D51" s="2" t="n"/>
      <c r="E51" s="3" t="n"/>
      <c r="F51" s="3" t="n"/>
      <c r="G51" s="3" t="n"/>
      <c r="H51" s="4" t="n"/>
      <c r="L51" s="2" t="n"/>
      <c r="N51" s="2" t="n"/>
    </row>
    <row r="52">
      <c r="D52" s="2" t="n"/>
      <c r="E52" s="3" t="n"/>
      <c r="F52" s="3" t="n"/>
      <c r="G52" s="3" t="n"/>
      <c r="H52" s="4" t="n"/>
      <c r="L52" s="2" t="n"/>
      <c r="N52" s="2" t="n"/>
    </row>
    <row r="53">
      <c r="D53" s="2" t="n"/>
      <c r="E53" s="3" t="n"/>
      <c r="F53" s="3" t="n"/>
      <c r="G53" s="3" t="n"/>
      <c r="H53" s="4" t="n"/>
      <c r="L53" s="2" t="n"/>
      <c r="N53" s="2" t="n"/>
    </row>
    <row r="54">
      <c r="D54" s="2" t="n"/>
      <c r="E54" s="3" t="n"/>
      <c r="F54" s="3" t="n"/>
      <c r="G54" s="3" t="n"/>
      <c r="H54" s="4" t="n"/>
      <c r="L54" s="2" t="n"/>
      <c r="N54" s="2" t="n"/>
    </row>
    <row r="55">
      <c r="D55" s="2" t="n"/>
      <c r="E55" s="3" t="n"/>
      <c r="F55" s="3" t="n"/>
      <c r="G55" s="3" t="n"/>
      <c r="H55" s="4" t="n"/>
      <c r="L55" s="2" t="n"/>
      <c r="N55" s="2" t="n"/>
    </row>
    <row r="56">
      <c r="D56" s="2" t="n"/>
      <c r="E56" s="3" t="n"/>
      <c r="F56" s="3" t="n"/>
      <c r="G56" s="3" t="n"/>
      <c r="H56" s="4" t="n"/>
      <c r="L56" s="2" t="n"/>
      <c r="N56" s="2" t="n"/>
    </row>
    <row r="57">
      <c r="D57" s="2" t="n"/>
      <c r="E57" s="3" t="n"/>
      <c r="F57" s="3" t="n"/>
      <c r="G57" s="3" t="n"/>
      <c r="H57" s="4" t="n"/>
      <c r="L57" s="2" t="n"/>
      <c r="N57" s="2" t="n"/>
    </row>
    <row r="58">
      <c r="D58" s="2" t="n"/>
      <c r="E58" s="3" t="n"/>
      <c r="F58" s="3" t="n"/>
      <c r="G58" s="3" t="n"/>
      <c r="H58" s="4" t="n"/>
      <c r="L58" s="2" t="n"/>
      <c r="N58" s="2" t="n"/>
    </row>
    <row r="59">
      <c r="D59" s="2" t="n"/>
      <c r="E59" s="3" t="n"/>
      <c r="F59" s="3" t="n"/>
      <c r="G59" s="3" t="n"/>
      <c r="H59" s="4" t="n"/>
      <c r="L59" s="2" t="n"/>
      <c r="N59" s="2" t="n"/>
    </row>
    <row r="60">
      <c r="D60" s="2" t="n"/>
      <c r="E60" s="3" t="n"/>
      <c r="F60" s="3" t="n"/>
      <c r="G60" s="3" t="n"/>
      <c r="H60" s="4" t="n"/>
      <c r="L60" s="2" t="n"/>
      <c r="N60" s="2" t="n"/>
    </row>
    <row r="61">
      <c r="D61" s="2" t="n"/>
      <c r="E61" s="3" t="n"/>
      <c r="F61" s="3" t="n"/>
      <c r="G61" s="3" t="n"/>
      <c r="H61" s="4" t="n"/>
      <c r="L61" s="2" t="n"/>
      <c r="N61" s="2" t="n"/>
    </row>
    <row r="62">
      <c r="D62" s="2" t="n"/>
      <c r="E62" s="3" t="n"/>
      <c r="F62" s="3" t="n"/>
      <c r="G62" s="3" t="n"/>
      <c r="H62" s="4" t="n"/>
      <c r="L62" s="2" t="n"/>
      <c r="N62" s="2" t="n"/>
    </row>
    <row r="63">
      <c r="D63" s="2" t="n"/>
      <c r="E63" s="3" t="n"/>
      <c r="F63" s="3" t="n"/>
      <c r="G63" s="3" t="n"/>
      <c r="H63" s="4" t="n"/>
      <c r="L63" s="2" t="n"/>
      <c r="N63" s="2" t="n"/>
    </row>
    <row r="64">
      <c r="D64" s="2" t="n"/>
      <c r="E64" s="3" t="n"/>
      <c r="F64" s="3" t="n"/>
      <c r="G64" s="3" t="n"/>
      <c r="H64" s="4" t="n"/>
      <c r="L64" s="2" t="n"/>
      <c r="N64" s="2" t="n"/>
    </row>
    <row r="65">
      <c r="D65" s="2" t="n"/>
      <c r="E65" s="3" t="n"/>
      <c r="F65" s="3" t="n"/>
      <c r="G65" s="3" t="n"/>
      <c r="H65" s="4" t="n"/>
      <c r="L65" s="2" t="n"/>
      <c r="N65" s="2" t="n"/>
    </row>
    <row r="66">
      <c r="D66" s="2" t="n"/>
      <c r="E66" s="3" t="n"/>
      <c r="F66" s="3" t="n"/>
      <c r="G66" s="3" t="n"/>
      <c r="H66" s="4" t="n"/>
      <c r="L66" s="2" t="n"/>
      <c r="N66" s="2" t="n"/>
    </row>
    <row r="67">
      <c r="D67" s="2" t="n"/>
      <c r="E67" s="3" t="n"/>
      <c r="F67" s="3" t="n"/>
      <c r="G67" s="3" t="n"/>
      <c r="H67" s="4" t="n"/>
      <c r="L67" s="2" t="n"/>
      <c r="N67" s="2" t="n"/>
    </row>
    <row r="68">
      <c r="D68" s="2" t="n"/>
      <c r="E68" s="3" t="n"/>
      <c r="F68" s="3" t="n"/>
      <c r="G68" s="3" t="n"/>
      <c r="H68" s="4" t="n"/>
      <c r="L68" s="2" t="n"/>
      <c r="N68" s="2" t="n"/>
    </row>
    <row r="69">
      <c r="D69" s="2" t="n"/>
      <c r="E69" s="3" t="n"/>
      <c r="F69" s="3" t="n"/>
      <c r="G69" s="3" t="n"/>
      <c r="H69" s="4" t="n"/>
      <c r="L69" s="2" t="n"/>
      <c r="N69" s="2" t="n"/>
    </row>
    <row r="70">
      <c r="D70" s="2" t="n"/>
      <c r="E70" s="3" t="n"/>
      <c r="F70" s="3" t="n"/>
      <c r="G70" s="3" t="n"/>
      <c r="H70" s="4" t="n"/>
      <c r="L70" s="2" t="n"/>
      <c r="N70" s="2" t="n"/>
    </row>
    <row r="71">
      <c r="D71" s="2" t="n"/>
      <c r="E71" s="3" t="n"/>
      <c r="F71" s="3" t="n"/>
      <c r="G71" s="3" t="n"/>
      <c r="H71" s="4" t="n"/>
      <c r="L71" s="2" t="n"/>
      <c r="N71" s="2" t="n"/>
    </row>
    <row r="72">
      <c r="D72" s="2" t="n"/>
      <c r="E72" s="3" t="n"/>
      <c r="F72" s="3" t="n"/>
      <c r="G72" s="3" t="n"/>
      <c r="H72" s="4" t="n"/>
      <c r="L72" s="2" t="n"/>
      <c r="N72" s="2" t="n"/>
    </row>
    <row r="73">
      <c r="D73" s="2" t="n"/>
      <c r="E73" s="3" t="n"/>
      <c r="F73" s="3" t="n"/>
      <c r="G73" s="3" t="n"/>
      <c r="H73" s="4" t="n"/>
      <c r="L73" s="2" t="n"/>
      <c r="N73" s="2" t="n"/>
    </row>
    <row r="74">
      <c r="D74" s="2" t="n"/>
      <c r="E74" s="3" t="n"/>
      <c r="F74" s="3" t="n"/>
      <c r="G74" s="3" t="n"/>
      <c r="H74" s="4" t="n"/>
      <c r="L74" s="2" t="n"/>
      <c r="N74" s="2" t="n"/>
    </row>
    <row r="75">
      <c r="D75" s="2" t="n"/>
      <c r="E75" s="3" t="n"/>
      <c r="F75" s="3" t="n"/>
      <c r="G75" s="3" t="n"/>
      <c r="H75" s="4" t="n"/>
      <c r="L75" s="2" t="n"/>
      <c r="N75" s="2" t="n"/>
    </row>
    <row r="76">
      <c r="D76" s="2" t="n"/>
      <c r="E76" s="3" t="n"/>
      <c r="F76" s="3" t="n"/>
      <c r="G76" s="3" t="n"/>
      <c r="H76" s="4" t="n"/>
      <c r="L76" s="2" t="n"/>
      <c r="N76" s="2" t="n"/>
    </row>
    <row r="77">
      <c r="D77" s="2" t="n"/>
      <c r="E77" s="3" t="n"/>
      <c r="F77" s="3" t="n"/>
      <c r="G77" s="3" t="n"/>
      <c r="H77" s="4" t="n"/>
      <c r="L77" s="2" t="n"/>
      <c r="N77" s="2" t="n"/>
    </row>
    <row r="78">
      <c r="D78" s="2" t="n"/>
      <c r="E78" s="3" t="n"/>
      <c r="F78" s="3" t="n"/>
      <c r="G78" s="3" t="n"/>
      <c r="H78" s="4" t="n"/>
      <c r="L78" s="2" t="n"/>
      <c r="N78" s="2" t="n"/>
    </row>
    <row r="79">
      <c r="D79" s="2" t="n"/>
      <c r="E79" s="3" t="n"/>
      <c r="F79" s="3" t="n"/>
      <c r="G79" s="3" t="n"/>
      <c r="H79" s="4" t="n"/>
      <c r="L79" s="2" t="n"/>
      <c r="N79" s="2" t="n"/>
    </row>
    <row r="80">
      <c r="D80" s="2" t="n"/>
      <c r="E80" s="3" t="n"/>
      <c r="F80" s="3" t="n"/>
      <c r="G80" s="3" t="n"/>
      <c r="H80" s="4" t="n"/>
      <c r="L80" s="2" t="n"/>
      <c r="N80" s="2" t="n"/>
    </row>
    <row r="81">
      <c r="D81" s="2" t="n"/>
      <c r="E81" s="3" t="n"/>
      <c r="F81" s="3" t="n"/>
      <c r="G81" s="3" t="n"/>
      <c r="H81" s="4" t="n"/>
      <c r="L81" s="2" t="n"/>
      <c r="N81" s="2" t="n"/>
    </row>
    <row r="82">
      <c r="D82" s="2" t="n"/>
      <c r="E82" s="3" t="n"/>
      <c r="F82" s="3" t="n"/>
      <c r="G82" s="3" t="n"/>
      <c r="H82" s="4" t="n"/>
      <c r="L82" s="2" t="n"/>
      <c r="N82" s="2" t="n"/>
    </row>
    <row r="83">
      <c r="D83" s="2" t="n"/>
      <c r="E83" s="3" t="n"/>
      <c r="F83" s="3" t="n"/>
      <c r="G83" s="3" t="n"/>
      <c r="H83" s="4" t="n"/>
      <c r="L83" s="2" t="n"/>
      <c r="N83" s="2" t="n"/>
    </row>
    <row r="84">
      <c r="D84" s="2" t="n"/>
      <c r="E84" s="3" t="n"/>
      <c r="F84" s="3" t="n"/>
      <c r="G84" s="3" t="n"/>
      <c r="H84" s="4" t="n"/>
      <c r="L84" s="2" t="n"/>
      <c r="N84" s="2" t="n"/>
    </row>
    <row r="85">
      <c r="D85" s="2" t="n"/>
      <c r="E85" s="3" t="n"/>
      <c r="F85" s="3" t="n"/>
      <c r="G85" s="3" t="n"/>
      <c r="H85" s="4" t="n"/>
      <c r="L85" s="2" t="n"/>
      <c r="N85" s="2" t="n"/>
    </row>
    <row r="86">
      <c r="D86" s="2" t="n"/>
      <c r="E86" s="3" t="n"/>
      <c r="F86" s="3" t="n"/>
      <c r="G86" s="3" t="n"/>
      <c r="H86" s="4" t="n"/>
      <c r="L86" s="2" t="n"/>
      <c r="N86" s="2" t="n"/>
    </row>
    <row r="87">
      <c r="D87" s="2" t="n"/>
      <c r="E87" s="3" t="n"/>
      <c r="F87" s="3" t="n"/>
      <c r="G87" s="3" t="n"/>
      <c r="H87" s="4" t="n"/>
      <c r="L87" s="2" t="n"/>
      <c r="N87" s="2" t="n"/>
    </row>
    <row r="88">
      <c r="D88" s="2" t="n"/>
      <c r="E88" s="3" t="n"/>
      <c r="F88" s="3" t="n"/>
      <c r="G88" s="3" t="n"/>
      <c r="H88" s="4" t="n"/>
      <c r="L88" s="2" t="n"/>
      <c r="N88" s="2" t="n"/>
    </row>
    <row r="89">
      <c r="D89" s="2" t="n"/>
      <c r="E89" s="3" t="n"/>
      <c r="F89" s="3" t="n"/>
      <c r="G89" s="3" t="n"/>
      <c r="H89" s="4" t="n"/>
      <c r="L89" s="2" t="n"/>
      <c r="N89" s="2" t="n"/>
    </row>
    <row r="90">
      <c r="D90" s="2" t="n"/>
      <c r="E90" s="3" t="n"/>
      <c r="F90" s="3" t="n"/>
      <c r="G90" s="3" t="n"/>
      <c r="H90" s="4" t="n"/>
      <c r="L90" s="2" t="n"/>
      <c r="N90" s="2" t="n"/>
    </row>
    <row r="91">
      <c r="D91" s="2" t="n"/>
      <c r="E91" s="3" t="n"/>
      <c r="F91" s="3" t="n"/>
      <c r="G91" s="3" t="n"/>
      <c r="H91" s="4" t="n"/>
      <c r="L91" s="2" t="n"/>
      <c r="N91" s="2" t="n"/>
    </row>
    <row r="92">
      <c r="D92" s="2" t="n"/>
      <c r="E92" s="3" t="n"/>
      <c r="F92" s="3" t="n"/>
      <c r="G92" s="3" t="n"/>
      <c r="H92" s="4" t="n"/>
      <c r="L92" s="2" t="n"/>
      <c r="N92" s="2" t="n"/>
    </row>
    <row r="93">
      <c r="D93" s="2" t="n"/>
      <c r="E93" s="3" t="n"/>
      <c r="F93" s="3" t="n"/>
      <c r="G93" s="3" t="n"/>
      <c r="H93" s="4" t="n"/>
      <c r="L93" s="2" t="n"/>
      <c r="N93" s="2" t="n"/>
    </row>
    <row r="94">
      <c r="D94" s="2" t="n"/>
      <c r="E94" s="3" t="n"/>
      <c r="F94" s="3" t="n"/>
      <c r="G94" s="3" t="n"/>
      <c r="H94" s="4" t="n"/>
      <c r="L94" s="2" t="n"/>
      <c r="N94" s="2" t="n"/>
    </row>
    <row r="95">
      <c r="D95" s="2" t="n"/>
      <c r="E95" s="3" t="n"/>
      <c r="F95" s="3" t="n"/>
      <c r="G95" s="3" t="n"/>
      <c r="H95" s="4" t="n"/>
      <c r="L95" s="2" t="n"/>
      <c r="N95" s="2" t="n"/>
    </row>
    <row r="96">
      <c r="D96" s="2" t="n"/>
      <c r="E96" s="3" t="n"/>
      <c r="F96" s="3" t="n"/>
      <c r="G96" s="3" t="n"/>
      <c r="H96" s="4" t="n"/>
      <c r="L96" s="2" t="n"/>
      <c r="N96" s="2" t="n"/>
    </row>
    <row r="97">
      <c r="D97" s="2" t="n"/>
      <c r="E97" s="3" t="n"/>
      <c r="F97" s="3" t="n"/>
      <c r="G97" s="3" t="n"/>
      <c r="H97" s="4" t="n"/>
      <c r="L97" s="2" t="n"/>
      <c r="N97" s="2" t="n"/>
    </row>
    <row r="98">
      <c r="D98" s="2" t="n"/>
      <c r="E98" s="3" t="n"/>
      <c r="F98" s="3" t="n"/>
      <c r="G98" s="3" t="n"/>
      <c r="H98" s="4" t="n"/>
      <c r="L98" s="2" t="n"/>
      <c r="N98" s="2" t="n"/>
    </row>
    <row r="99">
      <c r="D99" s="2" t="n"/>
      <c r="E99" s="3" t="n"/>
      <c r="F99" s="3" t="n"/>
      <c r="G99" s="3" t="n"/>
      <c r="H99" s="4" t="n"/>
      <c r="L99" s="2" t="n"/>
      <c r="N99" s="2" t="n"/>
    </row>
    <row r="100">
      <c r="D100" s="2" t="n"/>
      <c r="E100" s="3" t="n"/>
      <c r="F100" s="3" t="n"/>
      <c r="G100" s="3" t="n"/>
      <c r="H100" s="4" t="n"/>
      <c r="L100" s="2" t="n"/>
      <c r="N100" s="2" t="n"/>
    </row>
    <row r="101">
      <c r="D101" s="2" t="n"/>
      <c r="E101" s="3" t="n"/>
      <c r="F101" s="3" t="n"/>
      <c r="G101" s="3" t="n"/>
      <c r="H101" s="4" t="n"/>
      <c r="L101" s="2" t="n"/>
      <c r="N101" s="2" t="n"/>
    </row>
    <row r="102">
      <c r="D102" s="2" t="n"/>
      <c r="E102" s="3" t="n"/>
      <c r="F102" s="3" t="n"/>
      <c r="G102" s="3" t="n"/>
      <c r="H102" s="4" t="n"/>
      <c r="L102" s="2" t="n"/>
      <c r="N102" s="2" t="n"/>
    </row>
    <row r="103">
      <c r="D103" s="2" t="n"/>
      <c r="E103" s="3" t="n"/>
      <c r="F103" s="3" t="n"/>
      <c r="G103" s="3" t="n"/>
      <c r="H103" s="4" t="n"/>
      <c r="L103" s="2" t="n"/>
      <c r="N103" s="2" t="n"/>
    </row>
    <row r="104">
      <c r="D104" s="2" t="n"/>
      <c r="E104" s="3" t="n"/>
      <c r="F104" s="3" t="n"/>
      <c r="G104" s="3" t="n"/>
      <c r="H104" s="4" t="n"/>
      <c r="L104" s="2" t="n"/>
      <c r="N104" s="2" t="n"/>
    </row>
    <row r="105">
      <c r="D105" s="2" t="n"/>
      <c r="E105" s="3" t="n"/>
      <c r="F105" s="3" t="n"/>
      <c r="G105" s="3" t="n"/>
      <c r="H105" s="4" t="n"/>
      <c r="L105" s="2" t="n"/>
      <c r="N105" s="2" t="n"/>
    </row>
    <row r="106">
      <c r="D106" s="2" t="n"/>
      <c r="E106" s="3" t="n"/>
      <c r="F106" s="3" t="n"/>
      <c r="G106" s="3" t="n"/>
      <c r="H106" s="4" t="n"/>
      <c r="L106" s="2" t="n"/>
      <c r="N106" s="2" t="n"/>
    </row>
    <row r="107">
      <c r="D107" s="2" t="n"/>
      <c r="E107" s="3" t="n"/>
      <c r="F107" s="3" t="n"/>
      <c r="G107" s="3" t="n"/>
      <c r="H107" s="4" t="n"/>
      <c r="L107" s="2" t="n"/>
      <c r="N107" s="2" t="n"/>
    </row>
    <row r="108">
      <c r="D108" s="2" t="n"/>
      <c r="E108" s="3" t="n"/>
      <c r="F108" s="3" t="n"/>
      <c r="G108" s="3" t="n"/>
      <c r="H108" s="4" t="n"/>
      <c r="L108" s="2" t="n"/>
      <c r="N108" s="2" t="n"/>
    </row>
    <row r="109">
      <c r="D109" s="2" t="n"/>
      <c r="E109" s="3" t="n"/>
      <c r="F109" s="3" t="n"/>
      <c r="G109" s="3" t="n"/>
      <c r="H109" s="4" t="n"/>
      <c r="L109" s="2" t="n"/>
      <c r="N109" s="2" t="n"/>
    </row>
    <row r="110">
      <c r="D110" s="2" t="n"/>
      <c r="E110" s="3" t="n"/>
      <c r="F110" s="3" t="n"/>
      <c r="G110" s="3" t="n"/>
      <c r="H110" s="4" t="n"/>
      <c r="L110" s="2" t="n"/>
      <c r="N110" s="2" t="n"/>
    </row>
    <row r="111">
      <c r="D111" s="2" t="n"/>
      <c r="E111" s="3" t="n"/>
      <c r="F111" s="3" t="n"/>
      <c r="G111" s="3" t="n"/>
      <c r="H111" s="4" t="n"/>
      <c r="L111" s="2" t="n"/>
      <c r="N111" s="2" t="n"/>
    </row>
    <row r="112">
      <c r="D112" s="2" t="n"/>
      <c r="E112" s="3" t="n"/>
      <c r="F112" s="3" t="n"/>
      <c r="G112" s="3" t="n"/>
      <c r="H112" s="4" t="n"/>
      <c r="L112" s="2" t="n"/>
      <c r="N112" s="2" t="n"/>
    </row>
    <row r="113">
      <c r="D113" s="2" t="n"/>
      <c r="E113" s="3" t="n"/>
      <c r="F113" s="3" t="n"/>
      <c r="G113" s="3" t="n"/>
      <c r="H113" s="4" t="n"/>
      <c r="L113" s="2" t="n"/>
      <c r="N113" s="2" t="n"/>
    </row>
    <row r="114">
      <c r="D114" s="2" t="n"/>
      <c r="E114" s="3" t="n"/>
      <c r="F114" s="3" t="n"/>
      <c r="G114" s="3" t="n"/>
      <c r="H114" s="4" t="n"/>
      <c r="L114" s="2" t="n"/>
      <c r="N114" s="2" t="n"/>
    </row>
    <row r="115">
      <c r="D115" s="2" t="n"/>
      <c r="E115" s="3" t="n"/>
      <c r="F115" s="3" t="n"/>
      <c r="G115" s="3" t="n"/>
      <c r="H115" s="4" t="n"/>
      <c r="L115" s="2" t="n"/>
      <c r="N115" s="2" t="n"/>
    </row>
    <row r="116">
      <c r="D116" s="2" t="n"/>
      <c r="E116" s="3" t="n"/>
      <c r="F116" s="3" t="n"/>
      <c r="G116" s="3" t="n"/>
      <c r="H116" s="4" t="n"/>
      <c r="L116" s="2" t="n"/>
      <c r="N116" s="2" t="n"/>
    </row>
    <row r="117">
      <c r="D117" s="2" t="n"/>
      <c r="E117" s="3" t="n"/>
      <c r="F117" s="3" t="n"/>
      <c r="G117" s="3" t="n"/>
      <c r="H117" s="4" t="n"/>
      <c r="L117" s="2" t="n"/>
      <c r="N117" s="2" t="n"/>
    </row>
    <row r="118">
      <c r="D118" s="2" t="n"/>
      <c r="E118" s="3" t="n"/>
      <c r="F118" s="3" t="n"/>
      <c r="G118" s="3" t="n"/>
      <c r="H118" s="4" t="n"/>
      <c r="L118" s="2" t="n"/>
      <c r="N118" s="2" t="n"/>
    </row>
    <row r="119">
      <c r="D119" s="2" t="n"/>
      <c r="E119" s="3" t="n"/>
      <c r="F119" s="3" t="n"/>
      <c r="G119" s="3" t="n"/>
      <c r="H119" s="4" t="n"/>
      <c r="L119" s="2" t="n"/>
      <c r="N119" s="2" t="n"/>
    </row>
    <row r="120">
      <c r="D120" s="2" t="n"/>
      <c r="E120" s="3" t="n"/>
      <c r="F120" s="3" t="n"/>
      <c r="G120" s="3" t="n"/>
      <c r="H120" s="4" t="n"/>
      <c r="L120" s="2" t="n"/>
      <c r="N120" s="2" t="n"/>
    </row>
    <row r="121">
      <c r="D121" s="2" t="n"/>
      <c r="E121" s="3" t="n"/>
      <c r="F121" s="3" t="n"/>
      <c r="G121" s="3" t="n"/>
      <c r="H121" s="4" t="n"/>
      <c r="L121" s="2" t="n"/>
      <c r="N121" s="2" t="n"/>
    </row>
    <row r="122">
      <c r="D122" s="2" t="n"/>
      <c r="E122" s="3" t="n"/>
      <c r="F122" s="3" t="n"/>
      <c r="G122" s="3" t="n"/>
      <c r="H122" s="4" t="n"/>
      <c r="L122" s="2" t="n"/>
      <c r="N122" s="2" t="n"/>
    </row>
    <row r="123">
      <c r="D123" s="2" t="n"/>
      <c r="E123" s="3" t="n"/>
      <c r="F123" s="3" t="n"/>
      <c r="G123" s="3" t="n"/>
      <c r="H123" s="4" t="n"/>
      <c r="L123" s="2" t="n"/>
      <c r="N123" s="2" t="n"/>
    </row>
    <row r="124">
      <c r="D124" s="2" t="n"/>
      <c r="E124" s="3" t="n"/>
      <c r="F124" s="3" t="n"/>
      <c r="G124" s="3" t="n"/>
      <c r="H124" s="4" t="n"/>
      <c r="L124" s="2" t="n"/>
      <c r="N124" s="2" t="n"/>
    </row>
    <row r="125">
      <c r="D125" s="2" t="n"/>
      <c r="E125" s="3" t="n"/>
      <c r="F125" s="3" t="n"/>
      <c r="G125" s="3" t="n"/>
      <c r="H125" s="4" t="n"/>
      <c r="L125" s="2" t="n"/>
      <c r="N125" s="2" t="n"/>
    </row>
    <row r="126">
      <c r="D126" s="2" t="n"/>
      <c r="E126" s="3" t="n"/>
      <c r="F126" s="3" t="n"/>
      <c r="G126" s="3" t="n"/>
      <c r="H126" s="4" t="n"/>
      <c r="L126" s="2" t="n"/>
      <c r="N126" s="2" t="n"/>
    </row>
    <row r="127">
      <c r="D127" s="2" t="n"/>
      <c r="E127" s="3" t="n"/>
      <c r="F127" s="3" t="n"/>
      <c r="G127" s="3" t="n"/>
      <c r="H127" s="4" t="n"/>
      <c r="L127" s="2" t="n"/>
      <c r="N127" s="2" t="n"/>
    </row>
    <row r="128">
      <c r="D128" s="2" t="n"/>
      <c r="E128" s="3" t="n"/>
      <c r="F128" s="3" t="n"/>
      <c r="G128" s="3" t="n"/>
      <c r="H128" s="4" t="n"/>
      <c r="L128" s="2" t="n"/>
      <c r="N128" s="2" t="n"/>
    </row>
    <row r="129">
      <c r="D129" s="2" t="n"/>
      <c r="E129" s="3" t="n"/>
      <c r="F129" s="3" t="n"/>
      <c r="G129" s="3" t="n"/>
      <c r="H129" s="4" t="n"/>
      <c r="L129" s="2" t="n"/>
      <c r="N129" s="2" t="n"/>
    </row>
    <row r="130">
      <c r="D130" s="2" t="n"/>
      <c r="E130" s="3" t="n"/>
      <c r="F130" s="3" t="n"/>
      <c r="G130" s="3" t="n"/>
      <c r="H130" s="4" t="n"/>
      <c r="L130" s="2" t="n"/>
      <c r="N130" s="2" t="n"/>
    </row>
    <row r="131">
      <c r="D131" s="2" t="n"/>
      <c r="E131" s="3" t="n"/>
      <c r="F131" s="3" t="n"/>
      <c r="G131" s="3" t="n"/>
      <c r="H131" s="4" t="n"/>
      <c r="L131" s="2" t="n"/>
      <c r="N131" s="2" t="n"/>
    </row>
    <row r="132">
      <c r="D132" s="2" t="n"/>
      <c r="E132" s="3" t="n"/>
      <c r="F132" s="3" t="n"/>
      <c r="G132" s="3" t="n"/>
      <c r="H132" s="4" t="n"/>
      <c r="L132" s="2" t="n"/>
      <c r="N132" s="2" t="n"/>
    </row>
    <row r="133">
      <c r="D133" s="2" t="n"/>
      <c r="E133" s="3" t="n"/>
      <c r="F133" s="3" t="n"/>
      <c r="G133" s="3" t="n"/>
      <c r="H133" s="4" t="n"/>
      <c r="L133" s="2" t="n"/>
      <c r="N133" s="2" t="n"/>
    </row>
    <row r="134">
      <c r="D134" s="2" t="n"/>
      <c r="E134" s="3" t="n"/>
      <c r="F134" s="3" t="n"/>
      <c r="G134" s="3" t="n"/>
      <c r="H134" s="4" t="n"/>
      <c r="L134" s="2" t="n"/>
      <c r="N134" s="2" t="n"/>
    </row>
    <row r="135">
      <c r="D135" s="2" t="n"/>
      <c r="E135" s="3" t="n"/>
      <c r="F135" s="3" t="n"/>
      <c r="G135" s="3" t="n"/>
      <c r="H135" s="4" t="n"/>
      <c r="L135" s="2" t="n"/>
      <c r="N135" s="2" t="n"/>
    </row>
    <row r="136">
      <c r="D136" s="2" t="n"/>
      <c r="E136" s="3" t="n"/>
      <c r="F136" s="3" t="n"/>
      <c r="G136" s="3" t="n"/>
      <c r="H136" s="4" t="n"/>
      <c r="L136" s="2" t="n"/>
      <c r="N136" s="2" t="n"/>
    </row>
    <row r="137">
      <c r="D137" s="2" t="n"/>
      <c r="E137" s="3" t="n"/>
      <c r="F137" s="3" t="n"/>
      <c r="G137" s="3" t="n"/>
      <c r="H137" s="4" t="n"/>
      <c r="L137" s="2" t="n"/>
      <c r="N137" s="2" t="n"/>
    </row>
    <row r="138">
      <c r="D138" s="2" t="n"/>
      <c r="E138" s="3" t="n"/>
      <c r="F138" s="3" t="n"/>
      <c r="G138" s="3" t="n"/>
      <c r="H138" s="4" t="n"/>
      <c r="L138" s="2" t="n"/>
      <c r="N138" s="2" t="n"/>
    </row>
    <row r="139">
      <c r="D139" s="2" t="n"/>
      <c r="E139" s="3" t="n"/>
      <c r="F139" s="3" t="n"/>
      <c r="G139" s="3" t="n"/>
      <c r="H139" s="4" t="n"/>
      <c r="L139" s="2" t="n"/>
      <c r="N139" s="2" t="n"/>
    </row>
    <row r="140">
      <c r="D140" s="2" t="n"/>
      <c r="E140" s="3" t="n"/>
      <c r="F140" s="3" t="n"/>
      <c r="G140" s="3" t="n"/>
      <c r="H140" s="4" t="n"/>
      <c r="L140" s="2" t="n"/>
      <c r="N140" s="2" t="n"/>
    </row>
    <row r="141">
      <c r="D141" s="2" t="n"/>
      <c r="E141" s="3" t="n"/>
      <c r="F141" s="3" t="n"/>
      <c r="G141" s="3" t="n"/>
      <c r="H141" s="4" t="n"/>
      <c r="L141" s="2" t="n"/>
      <c r="N141" s="2" t="n"/>
    </row>
    <row r="142">
      <c r="D142" s="2" t="n"/>
      <c r="E142" s="3" t="n"/>
      <c r="F142" s="3" t="n"/>
      <c r="G142" s="3" t="n"/>
      <c r="H142" s="4" t="n"/>
      <c r="L142" s="2" t="n"/>
      <c r="N142" s="2" t="n"/>
    </row>
    <row r="143">
      <c r="D143" s="2" t="n"/>
      <c r="E143" s="3" t="n"/>
      <c r="F143" s="3" t="n"/>
      <c r="G143" s="3" t="n"/>
      <c r="H143" s="4" t="n"/>
      <c r="L143" s="2" t="n"/>
      <c r="N143" s="2" t="n"/>
    </row>
    <row r="144">
      <c r="D144" s="2" t="n"/>
      <c r="E144" s="3" t="n"/>
      <c r="F144" s="3" t="n"/>
      <c r="G144" s="3" t="n"/>
      <c r="H144" s="4" t="n"/>
      <c r="L144" s="2" t="n"/>
      <c r="N144" s="2" t="n"/>
    </row>
    <row r="145">
      <c r="D145" s="2" t="n"/>
      <c r="E145" s="3" t="n"/>
      <c r="F145" s="3" t="n"/>
      <c r="G145" s="3" t="n"/>
      <c r="H145" s="4" t="n"/>
      <c r="L145" s="2" t="n"/>
      <c r="N145" s="2" t="n"/>
    </row>
    <row r="146">
      <c r="D146" s="2" t="n"/>
      <c r="E146" s="3" t="n"/>
      <c r="F146" s="3" t="n"/>
      <c r="G146" s="3" t="n"/>
      <c r="H146" s="4" t="n"/>
      <c r="L146" s="2" t="n"/>
      <c r="N146" s="2" t="n"/>
    </row>
    <row r="147">
      <c r="D147" s="2" t="n"/>
      <c r="E147" s="3" t="n"/>
      <c r="F147" s="3" t="n"/>
      <c r="G147" s="3" t="n"/>
      <c r="H147" s="4" t="n"/>
      <c r="L147" s="2" t="n"/>
      <c r="N147" s="2" t="n"/>
    </row>
    <row r="148">
      <c r="D148" s="2" t="n"/>
      <c r="E148" s="3" t="n"/>
      <c r="F148" s="3" t="n"/>
      <c r="G148" s="3" t="n"/>
      <c r="H148" s="4" t="n"/>
      <c r="L148" s="2" t="n"/>
      <c r="N148" s="2" t="n"/>
    </row>
    <row r="149">
      <c r="D149" s="2" t="n"/>
      <c r="E149" s="3" t="n"/>
      <c r="F149" s="3" t="n"/>
      <c r="G149" s="3" t="n"/>
      <c r="H149" s="4" t="n"/>
      <c r="L149" s="2" t="n"/>
      <c r="N149" s="2" t="n"/>
    </row>
    <row r="150">
      <c r="D150" s="2" t="n"/>
      <c r="E150" s="3" t="n"/>
      <c r="F150" s="3" t="n"/>
      <c r="G150" s="3" t="n"/>
      <c r="H150" s="4" t="n"/>
      <c r="L150" s="2" t="n"/>
      <c r="N150" s="2" t="n"/>
    </row>
    <row r="151">
      <c r="D151" s="2" t="n"/>
      <c r="E151" s="3" t="n"/>
      <c r="F151" s="3" t="n"/>
      <c r="G151" s="3" t="n"/>
      <c r="H151" s="4" t="n"/>
      <c r="L151" s="2" t="n"/>
      <c r="N151" s="2" t="n"/>
    </row>
    <row r="152">
      <c r="D152" s="2" t="n"/>
      <c r="E152" s="3" t="n"/>
      <c r="F152" s="3" t="n"/>
      <c r="G152" s="3" t="n"/>
      <c r="H152" s="4" t="n"/>
      <c r="L152" s="2" t="n"/>
      <c r="N152" s="2" t="n"/>
    </row>
    <row r="153">
      <c r="D153" s="2" t="n"/>
      <c r="E153" s="3" t="n"/>
      <c r="F153" s="3" t="n"/>
      <c r="G153" s="3" t="n"/>
      <c r="H153" s="4" t="n"/>
      <c r="L153" s="2" t="n"/>
      <c r="N153" s="2" t="n"/>
    </row>
    <row r="154">
      <c r="D154" s="2" t="n"/>
      <c r="E154" s="3" t="n"/>
      <c r="F154" s="3" t="n"/>
      <c r="G154" s="3" t="n"/>
      <c r="H154" s="4" t="n"/>
      <c r="L154" s="2" t="n"/>
      <c r="N154" s="2" t="n"/>
    </row>
    <row r="155">
      <c r="D155" s="2" t="n"/>
      <c r="E155" s="3" t="n"/>
      <c r="F155" s="3" t="n"/>
      <c r="G155" s="3" t="n"/>
      <c r="H155" s="4" t="n"/>
      <c r="L155" s="2" t="n"/>
      <c r="N155" s="2" t="n"/>
    </row>
    <row r="156">
      <c r="D156" s="2" t="n"/>
      <c r="E156" s="3" t="n"/>
      <c r="F156" s="3" t="n"/>
      <c r="G156" s="3" t="n"/>
      <c r="H156" s="4" t="n"/>
      <c r="L156" s="2" t="n"/>
      <c r="N156" s="2" t="n"/>
    </row>
    <row r="157">
      <c r="D157" s="2" t="n"/>
      <c r="E157" s="3" t="n"/>
      <c r="F157" s="3" t="n"/>
      <c r="G157" s="3" t="n"/>
      <c r="H157" s="4" t="n"/>
      <c r="L157" s="2" t="n"/>
      <c r="N157" s="2" t="n"/>
    </row>
    <row r="158">
      <c r="D158" s="2" t="n"/>
      <c r="E158" s="3" t="n"/>
      <c r="F158" s="3" t="n"/>
      <c r="G158" s="3" t="n"/>
      <c r="H158" s="4" t="n"/>
      <c r="L158" s="2" t="n"/>
      <c r="N158" s="2" t="n"/>
    </row>
    <row r="159">
      <c r="D159" s="2" t="n"/>
      <c r="E159" s="3" t="n"/>
      <c r="F159" s="3" t="n"/>
      <c r="G159" s="3" t="n"/>
      <c r="H159" s="4" t="n"/>
      <c r="L159" s="2" t="n"/>
      <c r="N159" s="2" t="n"/>
    </row>
    <row r="160">
      <c r="D160" s="2" t="n"/>
      <c r="E160" s="3" t="n"/>
      <c r="F160" s="3" t="n"/>
      <c r="G160" s="3" t="n"/>
      <c r="H160" s="4" t="n"/>
      <c r="L160" s="2" t="n"/>
      <c r="N160" s="2" t="n"/>
    </row>
    <row r="161">
      <c r="D161" s="2" t="n"/>
      <c r="E161" s="3" t="n"/>
      <c r="F161" s="3" t="n"/>
      <c r="G161" s="3" t="n"/>
      <c r="H161" s="4" t="n"/>
      <c r="L161" s="2" t="n"/>
      <c r="N161" s="2" t="n"/>
    </row>
    <row r="162">
      <c r="D162" s="2" t="n"/>
      <c r="E162" s="3" t="n"/>
      <c r="F162" s="3" t="n"/>
      <c r="G162" s="3" t="n"/>
      <c r="H162" s="4" t="n"/>
      <c r="L162" s="2" t="n"/>
      <c r="N162" s="2" t="n"/>
    </row>
    <row r="163">
      <c r="D163" s="2" t="n"/>
      <c r="E163" s="3" t="n"/>
      <c r="F163" s="3" t="n"/>
      <c r="G163" s="3" t="n"/>
      <c r="H163" s="4" t="n"/>
      <c r="L163" s="2" t="n"/>
      <c r="N163" s="2" t="n"/>
    </row>
    <row r="164">
      <c r="D164" s="2" t="n"/>
      <c r="E164" s="3" t="n"/>
      <c r="F164" s="3" t="n"/>
      <c r="G164" s="3" t="n"/>
      <c r="H164" s="4" t="n"/>
      <c r="L164" s="2" t="n"/>
      <c r="N164" s="2" t="n"/>
    </row>
    <row r="165">
      <c r="D165" s="2" t="n"/>
      <c r="E165" s="3" t="n"/>
      <c r="F165" s="3" t="n"/>
      <c r="G165" s="3" t="n"/>
      <c r="H165" s="4" t="n"/>
      <c r="L165" s="2" t="n"/>
      <c r="N165" s="2" t="n"/>
    </row>
    <row r="166">
      <c r="D166" s="2" t="n"/>
      <c r="E166" s="3" t="n"/>
      <c r="F166" s="3" t="n"/>
      <c r="G166" s="3" t="n"/>
      <c r="H166" s="4" t="n"/>
      <c r="L166" s="2" t="n"/>
      <c r="N166" s="2" t="n"/>
    </row>
    <row r="167">
      <c r="D167" s="2" t="n"/>
      <c r="E167" s="3" t="n"/>
      <c r="F167" s="3" t="n"/>
      <c r="G167" s="3" t="n"/>
      <c r="H167" s="4" t="n"/>
      <c r="L167" s="2" t="n"/>
      <c r="N167" s="2" t="n"/>
    </row>
    <row r="168">
      <c r="D168" s="2" t="n"/>
      <c r="E168" s="3" t="n"/>
      <c r="F168" s="3" t="n"/>
      <c r="G168" s="3" t="n"/>
      <c r="H168" s="4" t="n"/>
      <c r="L168" s="2" t="n"/>
      <c r="N168" s="2" t="n"/>
    </row>
    <row r="169">
      <c r="D169" s="2" t="n"/>
      <c r="E169" s="3" t="n"/>
      <c r="F169" s="3" t="n"/>
      <c r="G169" s="3" t="n"/>
      <c r="H169" s="4" t="n"/>
      <c r="L169" s="2" t="n"/>
      <c r="N169" s="2" t="n"/>
    </row>
    <row r="170">
      <c r="D170" s="2" t="n"/>
      <c r="E170" s="3" t="n"/>
      <c r="F170" s="3" t="n"/>
      <c r="G170" s="3" t="n"/>
      <c r="H170" s="4" t="n"/>
      <c r="L170" s="2" t="n"/>
      <c r="N170" s="2" t="n"/>
    </row>
    <row r="171">
      <c r="D171" s="2" t="n"/>
      <c r="E171" s="3" t="n"/>
      <c r="F171" s="3" t="n"/>
      <c r="G171" s="3" t="n"/>
      <c r="H171" s="4" t="n"/>
      <c r="L171" s="2" t="n"/>
      <c r="N171" s="2" t="n"/>
    </row>
    <row r="172">
      <c r="D172" s="2" t="n"/>
      <c r="E172" s="3" t="n"/>
      <c r="F172" s="3" t="n"/>
      <c r="G172" s="3" t="n"/>
      <c r="H172" s="4" t="n"/>
      <c r="L172" s="2" t="n"/>
      <c r="N172" s="2" t="n"/>
    </row>
    <row r="173">
      <c r="D173" s="2" t="n"/>
      <c r="E173" s="3" t="n"/>
      <c r="F173" s="3" t="n"/>
      <c r="G173" s="3" t="n"/>
      <c r="H173" s="4" t="n"/>
      <c r="L173" s="2" t="n"/>
      <c r="N173" s="2" t="n"/>
    </row>
    <row r="174">
      <c r="D174" s="2" t="n"/>
      <c r="E174" s="3" t="n"/>
      <c r="F174" s="3" t="n"/>
      <c r="G174" s="3" t="n"/>
      <c r="H174" s="4" t="n"/>
      <c r="L174" s="2" t="n"/>
      <c r="N174" s="2" t="n"/>
    </row>
    <row r="175">
      <c r="D175" s="2" t="n"/>
      <c r="E175" s="3" t="n"/>
      <c r="F175" s="3" t="n"/>
      <c r="G175" s="3" t="n"/>
      <c r="H175" s="4" t="n"/>
      <c r="L175" s="2" t="n"/>
      <c r="N175" s="2" t="n"/>
    </row>
    <row r="176">
      <c r="D176" s="2" t="n"/>
      <c r="E176" s="3" t="n"/>
      <c r="F176" s="3" t="n"/>
      <c r="G176" s="3" t="n"/>
      <c r="H176" s="4" t="n"/>
      <c r="L176" s="2" t="n"/>
      <c r="N176" s="2" t="n"/>
    </row>
    <row r="177">
      <c r="D177" s="2" t="n"/>
      <c r="E177" s="3" t="n"/>
      <c r="F177" s="3" t="n"/>
      <c r="G177" s="3" t="n"/>
      <c r="H177" s="4" t="n"/>
      <c r="L177" s="2" t="n"/>
      <c r="N177" s="2" t="n"/>
    </row>
    <row r="178">
      <c r="D178" s="2" t="n"/>
      <c r="E178" s="3" t="n"/>
      <c r="F178" s="3" t="n"/>
      <c r="G178" s="3" t="n"/>
      <c r="H178" s="4" t="n"/>
      <c r="L178" s="2" t="n"/>
      <c r="N178" s="2" t="n"/>
    </row>
    <row r="179">
      <c r="D179" s="2" t="n"/>
      <c r="E179" s="3" t="n"/>
      <c r="F179" s="3" t="n"/>
      <c r="G179" s="3" t="n"/>
      <c r="H179" s="4" t="n"/>
      <c r="L179" s="2" t="n"/>
      <c r="N179" s="2" t="n"/>
    </row>
    <row r="180">
      <c r="D180" s="2" t="n"/>
      <c r="E180" s="3" t="n"/>
      <c r="F180" s="3" t="n"/>
      <c r="G180" s="3" t="n"/>
      <c r="H180" s="4" t="n"/>
      <c r="L180" s="2" t="n"/>
      <c r="N180" s="2" t="n"/>
    </row>
    <row r="181">
      <c r="D181" s="2" t="n"/>
      <c r="E181" s="3" t="n"/>
      <c r="F181" s="3" t="n"/>
      <c r="G181" s="3" t="n"/>
      <c r="H181" s="4" t="n"/>
      <c r="L181" s="2" t="n"/>
      <c r="N181" s="2" t="n"/>
    </row>
    <row r="182">
      <c r="D182" s="2" t="n"/>
      <c r="E182" s="3" t="n"/>
      <c r="F182" s="3" t="n"/>
      <c r="G182" s="3" t="n"/>
      <c r="H182" s="4" t="n"/>
      <c r="L182" s="2" t="n"/>
      <c r="N182" s="2" t="n"/>
    </row>
    <row r="183">
      <c r="D183" s="2" t="n"/>
      <c r="E183" s="3" t="n"/>
      <c r="F183" s="3" t="n"/>
      <c r="G183" s="3" t="n"/>
      <c r="H183" s="4" t="n"/>
      <c r="L183" s="2" t="n"/>
      <c r="N183" s="2" t="n"/>
    </row>
    <row r="184">
      <c r="D184" s="2" t="n"/>
      <c r="E184" s="3" t="n"/>
      <c r="F184" s="3" t="n"/>
      <c r="G184" s="3" t="n"/>
      <c r="H184" s="4" t="n"/>
      <c r="L184" s="2" t="n"/>
      <c r="N184" s="2" t="n"/>
    </row>
    <row r="185">
      <c r="D185" s="2" t="n"/>
      <c r="E185" s="3" t="n"/>
      <c r="F185" s="3" t="n"/>
      <c r="G185" s="3" t="n"/>
      <c r="H185" s="4" t="n"/>
      <c r="L185" s="2" t="n"/>
      <c r="N185" s="2" t="n"/>
    </row>
    <row r="186">
      <c r="D186" s="2" t="n"/>
      <c r="E186" s="3" t="n"/>
      <c r="F186" s="3" t="n"/>
      <c r="G186" s="3" t="n"/>
      <c r="H186" s="4" t="n"/>
      <c r="L186" s="2" t="n"/>
      <c r="N186" s="2" t="n"/>
    </row>
    <row r="187">
      <c r="D187" s="2" t="n"/>
      <c r="E187" s="3" t="n"/>
      <c r="F187" s="3" t="n"/>
      <c r="G187" s="3" t="n"/>
      <c r="H187" s="4" t="n"/>
      <c r="L187" s="2" t="n"/>
      <c r="N187" s="2" t="n"/>
    </row>
    <row r="188">
      <c r="D188" s="2" t="n"/>
      <c r="E188" s="3" t="n"/>
      <c r="F188" s="3" t="n"/>
      <c r="G188" s="3" t="n"/>
      <c r="H188" s="4" t="n"/>
      <c r="L188" s="2" t="n"/>
      <c r="N188" s="2" t="n"/>
    </row>
    <row r="189">
      <c r="D189" s="2" t="n"/>
      <c r="E189" s="3" t="n"/>
      <c r="F189" s="3" t="n"/>
      <c r="G189" s="3" t="n"/>
      <c r="H189" s="4" t="n"/>
      <c r="L189" s="2" t="n"/>
      <c r="N189" s="2" t="n"/>
    </row>
    <row r="190">
      <c r="D190" s="2" t="n"/>
      <c r="E190" s="3" t="n"/>
      <c r="F190" s="3" t="n"/>
      <c r="G190" s="3" t="n"/>
      <c r="H190" s="4" t="n"/>
      <c r="L190" s="2" t="n"/>
      <c r="N190" s="2" t="n"/>
    </row>
    <row r="191">
      <c r="D191" s="2" t="n"/>
      <c r="E191" s="3" t="n"/>
      <c r="F191" s="3" t="n"/>
      <c r="G191" s="3" t="n"/>
      <c r="H191" s="4" t="n"/>
      <c r="L191" s="2" t="n"/>
      <c r="N191" s="2" t="n"/>
    </row>
    <row r="192">
      <c r="D192" s="2" t="n"/>
      <c r="E192" s="3" t="n"/>
      <c r="F192" s="3" t="n"/>
      <c r="G192" s="3" t="n"/>
      <c r="H192" s="4" t="n"/>
      <c r="L192" s="2" t="n"/>
      <c r="N192" s="2" t="n"/>
    </row>
    <row r="193">
      <c r="D193" s="2" t="n"/>
      <c r="E193" s="3" t="n"/>
      <c r="F193" s="3" t="n"/>
      <c r="G193" s="3" t="n"/>
      <c r="H193" s="4" t="n"/>
      <c r="L193" s="2" t="n"/>
      <c r="N193" s="2" t="n"/>
    </row>
    <row r="194">
      <c r="D194" s="2" t="n"/>
      <c r="E194" s="3" t="n"/>
      <c r="F194" s="3" t="n"/>
      <c r="G194" s="3" t="n"/>
      <c r="H194" s="4" t="n"/>
      <c r="L194" s="2" t="n"/>
      <c r="N194" s="2" t="n"/>
    </row>
    <row r="195">
      <c r="D195" s="2" t="n"/>
      <c r="E195" s="3" t="n"/>
      <c r="F195" s="3" t="n"/>
      <c r="G195" s="3" t="n"/>
      <c r="H195" s="4" t="n"/>
      <c r="L195" s="2" t="n"/>
      <c r="N195" s="2" t="n"/>
    </row>
    <row r="196">
      <c r="D196" s="2" t="n"/>
      <c r="E196" s="3" t="n"/>
      <c r="F196" s="3" t="n"/>
      <c r="G196" s="3" t="n"/>
      <c r="H196" s="4" t="n"/>
      <c r="L196" s="2" t="n"/>
      <c r="N196" s="2" t="n"/>
    </row>
    <row r="197">
      <c r="D197" s="2" t="n"/>
      <c r="E197" s="3" t="n"/>
      <c r="F197" s="3" t="n"/>
      <c r="G197" s="3" t="n"/>
      <c r="H197" s="4" t="n"/>
      <c r="L197" s="2" t="n"/>
      <c r="N197" s="2" t="n"/>
    </row>
    <row r="198">
      <c r="D198" s="2" t="n"/>
      <c r="E198" s="3" t="n"/>
      <c r="F198" s="3" t="n"/>
      <c r="G198" s="3" t="n"/>
      <c r="H198" s="4" t="n"/>
      <c r="L198" s="2" t="n"/>
      <c r="N198" s="2" t="n"/>
    </row>
    <row r="199">
      <c r="D199" s="2" t="n"/>
      <c r="E199" s="3" t="n"/>
      <c r="F199" s="3" t="n"/>
      <c r="G199" s="3" t="n"/>
      <c r="H199" s="4" t="n"/>
      <c r="L199" s="2" t="n"/>
      <c r="N199" s="2" t="n"/>
    </row>
    <row r="200">
      <c r="D200" s="2" t="n"/>
      <c r="E200" s="3" t="n"/>
      <c r="F200" s="3" t="n"/>
      <c r="G200" s="3" t="n"/>
      <c r="H200" s="4" t="n"/>
      <c r="L200" s="2" t="n"/>
      <c r="N200" s="2" t="n"/>
    </row>
    <row r="201">
      <c r="D201" s="2" t="n"/>
      <c r="E201" s="3" t="n"/>
      <c r="F201" s="3" t="n"/>
      <c r="G201" s="3" t="n"/>
      <c r="H201" s="4" t="n"/>
      <c r="L201" s="2" t="n"/>
      <c r="N201" s="2" t="n"/>
    </row>
    <row r="202">
      <c r="D202" s="2" t="n"/>
      <c r="E202" s="3" t="n"/>
      <c r="F202" s="3" t="n"/>
      <c r="G202" s="3" t="n"/>
      <c r="H202" s="4" t="n"/>
      <c r="L202" s="2" t="n"/>
      <c r="N202" s="2" t="n"/>
    </row>
    <row r="203">
      <c r="D203" s="2" t="n"/>
      <c r="E203" s="3" t="n"/>
      <c r="F203" s="3" t="n"/>
      <c r="G203" s="3" t="n"/>
      <c r="H203" s="4" t="n"/>
      <c r="L203" s="2" t="n"/>
      <c r="N203" s="2" t="n"/>
    </row>
    <row r="204">
      <c r="D204" s="2" t="n"/>
      <c r="E204" s="3" t="n"/>
      <c r="F204" s="3" t="n"/>
      <c r="G204" s="3" t="n"/>
      <c r="H204" s="4" t="n"/>
      <c r="L204" s="2" t="n"/>
      <c r="N204" s="2" t="n"/>
    </row>
    <row r="205">
      <c r="D205" s="2" t="n"/>
      <c r="E205" s="3" t="n"/>
      <c r="F205" s="3" t="n"/>
      <c r="G205" s="3" t="n"/>
      <c r="H205" s="4" t="n"/>
      <c r="L205" s="2" t="n"/>
      <c r="N205" s="2" t="n"/>
    </row>
    <row r="206">
      <c r="D206" s="2" t="n"/>
      <c r="E206" s="3" t="n"/>
      <c r="F206" s="3" t="n"/>
      <c r="G206" s="3" t="n"/>
      <c r="H206" s="4" t="n"/>
      <c r="L206" s="2" t="n"/>
      <c r="N206" s="2" t="n"/>
    </row>
    <row r="207">
      <c r="D207" s="2" t="n"/>
      <c r="E207" s="3" t="n"/>
      <c r="F207" s="3" t="n"/>
      <c r="G207" s="3" t="n"/>
      <c r="H207" s="4" t="n"/>
      <c r="L207" s="2" t="n"/>
      <c r="N207" s="2" t="n"/>
    </row>
    <row r="208">
      <c r="D208" s="2" t="n"/>
      <c r="E208" s="3" t="n"/>
      <c r="F208" s="3" t="n"/>
      <c r="G208" s="3" t="n"/>
      <c r="H208" s="4" t="n"/>
      <c r="L208" s="2" t="n"/>
      <c r="N208" s="2" t="n"/>
    </row>
    <row r="209">
      <c r="D209" s="2" t="n"/>
      <c r="E209" s="3" t="n"/>
      <c r="F209" s="3" t="n"/>
      <c r="G209" s="3" t="n"/>
      <c r="H209" s="4" t="n"/>
      <c r="L209" s="2" t="n"/>
      <c r="N209" s="2" t="n"/>
    </row>
    <row r="210">
      <c r="D210" s="2" t="n"/>
      <c r="E210" s="3" t="n"/>
      <c r="F210" s="3" t="n"/>
      <c r="G210" s="3" t="n"/>
      <c r="H210" s="4" t="n"/>
      <c r="L210" s="2" t="n"/>
      <c r="N210" s="2" t="n"/>
    </row>
    <row r="211">
      <c r="D211" s="2" t="n"/>
      <c r="E211" s="3" t="n"/>
      <c r="F211" s="3" t="n"/>
      <c r="G211" s="3" t="n"/>
      <c r="H211" s="4" t="n"/>
      <c r="L211" s="2" t="n"/>
      <c r="N211" s="2" t="n"/>
    </row>
    <row r="212">
      <c r="D212" s="2" t="n"/>
      <c r="E212" s="3" t="n"/>
      <c r="F212" s="3" t="n"/>
      <c r="G212" s="3" t="n"/>
      <c r="H212" s="4" t="n"/>
      <c r="L212" s="2" t="n"/>
      <c r="N212" s="2" t="n"/>
    </row>
    <row r="213">
      <c r="D213" s="2" t="n"/>
      <c r="E213" s="3" t="n"/>
      <c r="F213" s="3" t="n"/>
      <c r="G213" s="3" t="n"/>
      <c r="H213" s="4" t="n"/>
      <c r="L213" s="2" t="n"/>
      <c r="N213" s="2" t="n"/>
    </row>
    <row r="214">
      <c r="D214" s="2" t="n"/>
      <c r="E214" s="3" t="n"/>
      <c r="F214" s="3" t="n"/>
      <c r="G214" s="3" t="n"/>
      <c r="H214" s="4" t="n"/>
      <c r="L214" s="2" t="n"/>
      <c r="N214" s="2" t="n"/>
    </row>
    <row r="215">
      <c r="D215" s="2" t="n"/>
      <c r="E215" s="3" t="n"/>
      <c r="F215" s="3" t="n"/>
      <c r="G215" s="3" t="n"/>
      <c r="H215" s="4" t="n"/>
      <c r="L215" s="2" t="n"/>
      <c r="N215" s="2" t="n"/>
    </row>
    <row r="216">
      <c r="D216" s="2" t="n"/>
      <c r="E216" s="3" t="n"/>
      <c r="F216" s="3" t="n"/>
      <c r="G216" s="3" t="n"/>
      <c r="H216" s="4" t="n"/>
      <c r="L216" s="2" t="n"/>
      <c r="N216" s="2" t="n"/>
    </row>
    <row r="217">
      <c r="D217" s="2" t="n"/>
      <c r="E217" s="3" t="n"/>
      <c r="F217" s="3" t="n"/>
      <c r="G217" s="3" t="n"/>
      <c r="H217" s="4" t="n"/>
      <c r="L217" s="2" t="n"/>
      <c r="N217" s="2" t="n"/>
    </row>
    <row r="218">
      <c r="D218" s="2" t="n"/>
      <c r="E218" s="3" t="n"/>
      <c r="F218" s="3" t="n"/>
      <c r="G218" s="3" t="n"/>
      <c r="H218" s="4" t="n"/>
      <c r="L218" s="2" t="n"/>
      <c r="N218" s="2" t="n"/>
    </row>
    <row r="219">
      <c r="D219" s="2" t="n"/>
      <c r="E219" s="3" t="n"/>
      <c r="F219" s="3" t="n"/>
      <c r="G219" s="3" t="n"/>
      <c r="H219" s="4" t="n"/>
      <c r="L219" s="2" t="n"/>
      <c r="N219" s="2" t="n"/>
    </row>
    <row r="220">
      <c r="D220" s="2" t="n"/>
      <c r="E220" s="3" t="n"/>
      <c r="F220" s="3" t="n"/>
      <c r="G220" s="3" t="n"/>
      <c r="H220" s="4" t="n"/>
      <c r="L220" s="2" t="n"/>
      <c r="N220" s="2" t="n"/>
    </row>
    <row r="221">
      <c r="D221" s="2" t="n"/>
      <c r="E221" s="3" t="n"/>
      <c r="F221" s="3" t="n"/>
      <c r="G221" s="3" t="n"/>
      <c r="H221" s="4" t="n"/>
      <c r="L221" s="2" t="n"/>
      <c r="N221" s="2" t="n"/>
    </row>
    <row r="222">
      <c r="D222" s="2" t="n"/>
      <c r="E222" s="3" t="n"/>
      <c r="F222" s="3" t="n"/>
      <c r="G222" s="3" t="n"/>
      <c r="H222" s="4" t="n"/>
      <c r="L222" s="2" t="n"/>
      <c r="N222" s="2" t="n"/>
    </row>
    <row r="223">
      <c r="D223" s="2" t="n"/>
      <c r="E223" s="3" t="n"/>
      <c r="F223" s="3" t="n"/>
      <c r="G223" s="3" t="n"/>
      <c r="H223" s="4" t="n"/>
      <c r="L223" s="2" t="n"/>
      <c r="N223" s="2" t="n"/>
    </row>
    <row r="224">
      <c r="D224" s="2" t="n"/>
      <c r="E224" s="3" t="n"/>
      <c r="F224" s="3" t="n"/>
      <c r="G224" s="3" t="n"/>
      <c r="H224" s="4" t="n"/>
      <c r="L224" s="2" t="n"/>
      <c r="N224" s="2" t="n"/>
    </row>
    <row r="225">
      <c r="D225" s="2" t="n"/>
      <c r="E225" s="3" t="n"/>
      <c r="F225" s="3" t="n"/>
      <c r="G225" s="3" t="n"/>
      <c r="H225" s="4" t="n"/>
      <c r="L225" s="2" t="n"/>
      <c r="N225" s="2" t="n"/>
    </row>
    <row r="226">
      <c r="D226" s="2" t="n"/>
      <c r="E226" s="3" t="n"/>
      <c r="F226" s="3" t="n"/>
      <c r="G226" s="3" t="n"/>
      <c r="H226" s="4" t="n"/>
      <c r="L226" s="2" t="n"/>
      <c r="N226" s="2" t="n"/>
    </row>
    <row r="227">
      <c r="D227" s="2" t="n"/>
      <c r="E227" s="3" t="n"/>
      <c r="F227" s="3" t="n"/>
      <c r="G227" s="3" t="n"/>
      <c r="H227" s="4" t="n"/>
      <c r="L227" s="2" t="n"/>
      <c r="N227" s="2" t="n"/>
    </row>
    <row r="228">
      <c r="D228" s="2" t="n"/>
      <c r="E228" s="3" t="n"/>
      <c r="F228" s="3" t="n"/>
      <c r="G228" s="3" t="n"/>
      <c r="H228" s="4" t="n"/>
      <c r="L228" s="2" t="n"/>
      <c r="N228" s="2" t="n"/>
    </row>
    <row r="229">
      <c r="D229" s="2" t="n"/>
      <c r="E229" s="3" t="n"/>
      <c r="F229" s="3" t="n"/>
      <c r="G229" s="3" t="n"/>
      <c r="H229" s="4" t="n"/>
      <c r="L229" s="2" t="n"/>
      <c r="N229" s="2" t="n"/>
    </row>
    <row r="230">
      <c r="D230" s="2" t="n"/>
      <c r="E230" s="3" t="n"/>
      <c r="F230" s="3" t="n"/>
      <c r="G230" s="3" t="n"/>
      <c r="H230" s="4" t="n"/>
      <c r="L230" s="2" t="n"/>
      <c r="N230" s="2" t="n"/>
    </row>
    <row r="231">
      <c r="D231" s="2" t="n"/>
      <c r="E231" s="3" t="n"/>
      <c r="F231" s="3" t="n"/>
      <c r="G231" s="3" t="n"/>
      <c r="H231" s="4" t="n"/>
      <c r="L231" s="2" t="n"/>
      <c r="N231" s="2" t="n"/>
    </row>
    <row r="232">
      <c r="D232" s="2" t="n"/>
      <c r="E232" s="3" t="n"/>
      <c r="F232" s="3" t="n"/>
      <c r="G232" s="3" t="n"/>
      <c r="H232" s="4" t="n"/>
      <c r="L232" s="2" t="n"/>
      <c r="N232" s="2" t="n"/>
    </row>
    <row r="233">
      <c r="D233" s="2" t="n"/>
      <c r="E233" s="3" t="n"/>
      <c r="F233" s="3" t="n"/>
      <c r="G233" s="3" t="n"/>
      <c r="H233" s="4" t="n"/>
      <c r="L233" s="2" t="n"/>
      <c r="N233" s="2" t="n"/>
    </row>
    <row r="234">
      <c r="D234" s="2" t="n"/>
      <c r="E234" s="3" t="n"/>
      <c r="F234" s="3" t="n"/>
      <c r="G234" s="3" t="n"/>
      <c r="H234" s="4" t="n"/>
      <c r="L234" s="2" t="n"/>
      <c r="N234" s="2" t="n"/>
    </row>
    <row r="235">
      <c r="D235" s="2" t="n"/>
      <c r="E235" s="3" t="n"/>
      <c r="F235" s="3" t="n"/>
      <c r="G235" s="3" t="n"/>
      <c r="H235" s="4" t="n"/>
      <c r="L235" s="2" t="n"/>
      <c r="N235" s="2" t="n"/>
    </row>
    <row r="236">
      <c r="D236" s="2" t="n"/>
      <c r="E236" s="3" t="n"/>
      <c r="F236" s="3" t="n"/>
      <c r="G236" s="3" t="n"/>
      <c r="H236" s="4" t="n"/>
      <c r="L236" s="2" t="n"/>
      <c r="N236" s="2" t="n"/>
    </row>
    <row r="237">
      <c r="D237" s="2" t="n"/>
      <c r="E237" s="3" t="n"/>
      <c r="F237" s="3" t="n"/>
      <c r="G237" s="3" t="n"/>
      <c r="H237" s="4" t="n"/>
      <c r="L237" s="2" t="n"/>
      <c r="N237" s="2" t="n"/>
    </row>
    <row r="238">
      <c r="D238" s="2" t="n"/>
      <c r="E238" s="3" t="n"/>
      <c r="F238" s="3" t="n"/>
      <c r="G238" s="3" t="n"/>
      <c r="H238" s="4" t="n"/>
      <c r="L238" s="2" t="n"/>
      <c r="N238" s="2" t="n"/>
    </row>
    <row r="239">
      <c r="D239" s="2" t="n"/>
      <c r="E239" s="3" t="n"/>
      <c r="F239" s="3" t="n"/>
      <c r="G239" s="3" t="n"/>
      <c r="H239" s="4" t="n"/>
      <c r="L239" s="2" t="n"/>
      <c r="N239" s="2" t="n"/>
    </row>
    <row r="240">
      <c r="D240" s="2" t="n"/>
      <c r="E240" s="3" t="n"/>
      <c r="F240" s="3" t="n"/>
      <c r="G240" s="3" t="n"/>
      <c r="H240" s="4" t="n"/>
      <c r="L240" s="2" t="n"/>
      <c r="N240" s="2" t="n"/>
    </row>
    <row r="241">
      <c r="D241" s="2" t="n"/>
      <c r="E241" s="3" t="n"/>
      <c r="F241" s="3" t="n"/>
      <c r="G241" s="3" t="n"/>
      <c r="H241" s="4" t="n"/>
      <c r="L241" s="2" t="n"/>
      <c r="N241" s="2" t="n"/>
    </row>
    <row r="242">
      <c r="D242" s="2" t="n"/>
      <c r="E242" s="3" t="n"/>
      <c r="F242" s="3" t="n"/>
      <c r="G242" s="3" t="n"/>
      <c r="H242" s="4" t="n"/>
      <c r="L242" s="2" t="n"/>
      <c r="N242" s="2" t="n"/>
    </row>
    <row r="243">
      <c r="D243" s="2" t="n"/>
      <c r="E243" s="3" t="n"/>
      <c r="F243" s="3" t="n"/>
      <c r="G243" s="3" t="n"/>
      <c r="H243" s="4" t="n"/>
      <c r="L243" s="2" t="n"/>
      <c r="N243" s="2" t="n"/>
    </row>
    <row r="244">
      <c r="D244" s="2" t="n"/>
      <c r="E244" s="3" t="n"/>
      <c r="F244" s="3" t="n"/>
      <c r="G244" s="3" t="n"/>
      <c r="H244" s="4" t="n"/>
      <c r="L244" s="2" t="n"/>
      <c r="N244" s="2" t="n"/>
    </row>
    <row r="245">
      <c r="D245" s="2" t="n"/>
      <c r="E245" s="3" t="n"/>
      <c r="F245" s="3" t="n"/>
      <c r="G245" s="3" t="n"/>
      <c r="H245" s="4" t="n"/>
      <c r="L245" s="2" t="n"/>
      <c r="N245" s="2" t="n"/>
    </row>
    <row r="246">
      <c r="D246" s="2" t="n"/>
      <c r="E246" s="3" t="n"/>
      <c r="F246" s="3" t="n"/>
      <c r="G246" s="3" t="n"/>
      <c r="H246" s="4" t="n"/>
      <c r="L246" s="2" t="n"/>
      <c r="N246" s="2" t="n"/>
    </row>
    <row r="247">
      <c r="D247" s="2" t="n"/>
      <c r="E247" s="3" t="n"/>
      <c r="F247" s="3" t="n"/>
      <c r="G247" s="3" t="n"/>
      <c r="H247" s="4" t="n"/>
      <c r="L247" s="2" t="n"/>
      <c r="N247" s="2" t="n"/>
    </row>
    <row r="248">
      <c r="D248" s="2" t="n"/>
      <c r="E248" s="3" t="n"/>
      <c r="F248" s="3" t="n"/>
      <c r="G248" s="3" t="n"/>
      <c r="H248" s="4" t="n"/>
      <c r="L248" s="2" t="n"/>
      <c r="N248" s="2" t="n"/>
    </row>
    <row r="249">
      <c r="D249" s="2" t="n"/>
      <c r="E249" s="3" t="n"/>
      <c r="F249" s="3" t="n"/>
      <c r="G249" s="3" t="n"/>
      <c r="H249" s="4" t="n"/>
      <c r="L249" s="2" t="n"/>
      <c r="N249" s="2" t="n"/>
    </row>
    <row r="250">
      <c r="D250" s="2" t="n"/>
      <c r="E250" s="3" t="n"/>
      <c r="F250" s="3" t="n"/>
      <c r="G250" s="3" t="n"/>
      <c r="H250" s="4" t="n"/>
      <c r="L250" s="2" t="n"/>
      <c r="N250" s="2" t="n"/>
    </row>
    <row r="251">
      <c r="D251" s="2" t="n"/>
      <c r="E251" s="3" t="n"/>
      <c r="F251" s="3" t="n"/>
      <c r="G251" s="3" t="n"/>
      <c r="H251" s="4" t="n"/>
      <c r="L251" s="2" t="n"/>
      <c r="N251" s="2" t="n"/>
    </row>
    <row r="252">
      <c r="D252" s="2" t="n"/>
      <c r="E252" s="3" t="n"/>
      <c r="F252" s="3" t="n"/>
      <c r="G252" s="3" t="n"/>
      <c r="H252" s="4" t="n"/>
      <c r="L252" s="2" t="n"/>
      <c r="N252" s="2" t="n"/>
    </row>
    <row r="253">
      <c r="D253" s="2" t="n"/>
      <c r="E253" s="3" t="n"/>
      <c r="F253" s="3" t="n"/>
      <c r="G253" s="3" t="n"/>
      <c r="H253" s="4" t="n"/>
      <c r="L253" s="2" t="n"/>
      <c r="N253" s="2" t="n"/>
    </row>
    <row r="254">
      <c r="D254" s="2" t="n"/>
      <c r="E254" s="3" t="n"/>
      <c r="F254" s="3" t="n"/>
      <c r="G254" s="3" t="n"/>
      <c r="H254" s="4" t="n"/>
      <c r="L254" s="2" t="n"/>
      <c r="N254" s="2" t="n"/>
    </row>
    <row r="255">
      <c r="D255" s="2" t="n"/>
      <c r="E255" s="3" t="n"/>
      <c r="F255" s="3" t="n"/>
      <c r="G255" s="3" t="n"/>
      <c r="H255" s="4" t="n"/>
      <c r="L255" s="2" t="n"/>
      <c r="N255" s="2" t="n"/>
    </row>
    <row r="256">
      <c r="D256" s="2" t="n"/>
      <c r="E256" s="3" t="n"/>
      <c r="F256" s="3" t="n"/>
      <c r="G256" s="3" t="n"/>
      <c r="H256" s="4" t="n"/>
      <c r="L256" s="2" t="n"/>
      <c r="N256" s="2" t="n"/>
    </row>
    <row r="257">
      <c r="D257" s="2" t="n"/>
      <c r="E257" s="3" t="n"/>
      <c r="F257" s="3" t="n"/>
      <c r="G257" s="3" t="n"/>
      <c r="H257" s="4" t="n"/>
      <c r="L257" s="2" t="n"/>
      <c r="N257" s="2" t="n"/>
    </row>
    <row r="258">
      <c r="D258" s="2" t="n"/>
      <c r="E258" s="3" t="n"/>
      <c r="F258" s="3" t="n"/>
      <c r="G258" s="3" t="n"/>
      <c r="H258" s="4" t="n"/>
      <c r="L258" s="2" t="n"/>
      <c r="N258" s="2" t="n"/>
    </row>
    <row r="259">
      <c r="D259" s="2" t="n"/>
      <c r="E259" s="3" t="n"/>
      <c r="F259" s="3" t="n"/>
      <c r="G259" s="3" t="n"/>
      <c r="H259" s="4" t="n"/>
      <c r="L259" s="2" t="n"/>
      <c r="N259" s="2" t="n"/>
    </row>
    <row r="260">
      <c r="D260" s="2" t="n"/>
      <c r="E260" s="3" t="n"/>
      <c r="F260" s="3" t="n"/>
      <c r="G260" s="3" t="n"/>
      <c r="H260" s="4" t="n"/>
      <c r="L260" s="2" t="n"/>
      <c r="N260" s="2" t="n"/>
    </row>
    <row r="261">
      <c r="D261" s="2" t="n"/>
      <c r="E261" s="3" t="n"/>
      <c r="F261" s="3" t="n"/>
      <c r="G261" s="3" t="n"/>
      <c r="H261" s="4" t="n"/>
      <c r="L261" s="2" t="n"/>
      <c r="N261" s="2" t="n"/>
    </row>
    <row r="262">
      <c r="D262" s="2" t="n"/>
      <c r="E262" s="3" t="n"/>
      <c r="F262" s="3" t="n"/>
      <c r="G262" s="3" t="n"/>
      <c r="H262" s="4" t="n"/>
      <c r="L262" s="2" t="n"/>
      <c r="N262" s="2" t="n"/>
    </row>
    <row r="263">
      <c r="D263" s="2" t="n"/>
      <c r="E263" s="3" t="n"/>
      <c r="F263" s="3" t="n"/>
      <c r="G263" s="3" t="n"/>
      <c r="H263" s="4" t="n"/>
      <c r="L263" s="2" t="n"/>
      <c r="N263" s="2" t="n"/>
    </row>
    <row r="264">
      <c r="D264" s="2" t="n"/>
      <c r="E264" s="3" t="n"/>
      <c r="F264" s="3" t="n"/>
      <c r="G264" s="3" t="n"/>
      <c r="H264" s="4" t="n"/>
      <c r="L264" s="2" t="n"/>
      <c r="N264" s="2" t="n"/>
    </row>
    <row r="265">
      <c r="D265" s="2" t="n"/>
      <c r="E265" s="3" t="n"/>
      <c r="F265" s="3" t="n"/>
      <c r="G265" s="3" t="n"/>
      <c r="H265" s="4" t="n"/>
      <c r="L265" s="2" t="n"/>
      <c r="N265" s="2" t="n"/>
    </row>
    <row r="266">
      <c r="D266" s="2" t="n"/>
      <c r="E266" s="3" t="n"/>
      <c r="F266" s="3" t="n"/>
      <c r="G266" s="3" t="n"/>
      <c r="H266" s="4" t="n"/>
      <c r="L266" s="2" t="n"/>
      <c r="N266" s="2" t="n"/>
    </row>
    <row r="267">
      <c r="D267" s="2" t="n"/>
      <c r="E267" s="3" t="n"/>
      <c r="F267" s="3" t="n"/>
      <c r="G267" s="3" t="n"/>
      <c r="H267" s="4" t="n"/>
      <c r="L267" s="2" t="n"/>
      <c r="N267" s="2" t="n"/>
    </row>
    <row r="268">
      <c r="D268" s="2" t="n"/>
      <c r="E268" s="3" t="n"/>
      <c r="F268" s="3" t="n"/>
      <c r="G268" s="3" t="n"/>
      <c r="H268" s="4" t="n"/>
      <c r="L268" s="2" t="n"/>
      <c r="N268" s="2" t="n"/>
    </row>
    <row r="269">
      <c r="D269" s="2" t="n"/>
      <c r="E269" s="3" t="n"/>
      <c r="F269" s="3" t="n"/>
      <c r="G269" s="3" t="n"/>
      <c r="H269" s="4" t="n"/>
      <c r="L269" s="2" t="n"/>
      <c r="N269" s="2" t="n"/>
    </row>
    <row r="270">
      <c r="D270" s="2" t="n"/>
      <c r="E270" s="3" t="n"/>
      <c r="F270" s="3" t="n"/>
      <c r="G270" s="3" t="n"/>
      <c r="H270" s="4" t="n"/>
      <c r="L270" s="2" t="n"/>
      <c r="N270" s="2" t="n"/>
    </row>
    <row r="271">
      <c r="D271" s="2" t="n"/>
      <c r="E271" s="3" t="n"/>
      <c r="F271" s="3" t="n"/>
      <c r="G271" s="3" t="n"/>
      <c r="H271" s="4" t="n"/>
      <c r="L271" s="2" t="n"/>
      <c r="N271" s="2" t="n"/>
    </row>
    <row r="272">
      <c r="D272" s="2" t="n"/>
      <c r="E272" s="3" t="n"/>
      <c r="F272" s="3" t="n"/>
      <c r="G272" s="3" t="n"/>
      <c r="H272" s="4" t="n"/>
      <c r="L272" s="2" t="n"/>
      <c r="N272" s="2" t="n"/>
    </row>
    <row r="273">
      <c r="D273" s="2" t="n"/>
      <c r="E273" s="3" t="n"/>
      <c r="F273" s="3" t="n"/>
      <c r="G273" s="3" t="n"/>
      <c r="H273" s="4" t="n"/>
      <c r="L273" s="2" t="n"/>
      <c r="N273" s="2" t="n"/>
    </row>
    <row r="274">
      <c r="D274" s="2" t="n"/>
      <c r="E274" s="3" t="n"/>
      <c r="F274" s="3" t="n"/>
      <c r="G274" s="3" t="n"/>
      <c r="H274" s="4" t="n"/>
      <c r="L274" s="2" t="n"/>
      <c r="N274" s="2" t="n"/>
    </row>
    <row r="275">
      <c r="D275" s="2" t="n"/>
      <c r="E275" s="3" t="n"/>
      <c r="F275" s="3" t="n"/>
      <c r="G275" s="3" t="n"/>
      <c r="H275" s="4" t="n"/>
      <c r="L275" s="2" t="n"/>
      <c r="N275" s="2" t="n"/>
    </row>
    <row r="276">
      <c r="D276" s="2" t="n"/>
      <c r="E276" s="3" t="n"/>
      <c r="F276" s="3" t="n"/>
      <c r="G276" s="3" t="n"/>
      <c r="H276" s="4" t="n"/>
      <c r="L276" s="2" t="n"/>
      <c r="N276" s="2" t="n"/>
    </row>
    <row r="277">
      <c r="D277" s="2" t="n"/>
      <c r="E277" s="3" t="n"/>
      <c r="F277" s="3" t="n"/>
      <c r="G277" s="3" t="n"/>
      <c r="H277" s="4" t="n"/>
      <c r="L277" s="2" t="n"/>
      <c r="N277" s="2" t="n"/>
    </row>
    <row r="278">
      <c r="D278" s="2" t="n"/>
      <c r="E278" s="3" t="n"/>
      <c r="F278" s="3" t="n"/>
      <c r="G278" s="3" t="n"/>
      <c r="H278" s="4" t="n"/>
      <c r="L278" s="2" t="n"/>
      <c r="N278" s="2" t="n"/>
    </row>
    <row r="279">
      <c r="D279" s="2" t="n"/>
      <c r="E279" s="3" t="n"/>
      <c r="F279" s="3" t="n"/>
      <c r="G279" s="3" t="n"/>
      <c r="H279" s="4" t="n"/>
      <c r="L279" s="2" t="n"/>
      <c r="N279" s="2" t="n"/>
    </row>
    <row r="280">
      <c r="D280" s="2" t="n"/>
      <c r="E280" s="3" t="n"/>
      <c r="F280" s="3" t="n"/>
      <c r="G280" s="3" t="n"/>
      <c r="H280" s="4" t="n"/>
      <c r="L280" s="2" t="n"/>
      <c r="N280" s="2" t="n"/>
    </row>
    <row r="281">
      <c r="D281" s="2" t="n"/>
      <c r="E281" s="3" t="n"/>
      <c r="F281" s="3" t="n"/>
      <c r="G281" s="3" t="n"/>
      <c r="H281" s="4" t="n"/>
      <c r="L281" s="2" t="n"/>
      <c r="N281" s="2" t="n"/>
    </row>
    <row r="282">
      <c r="D282" s="2" t="n"/>
      <c r="E282" s="3" t="n"/>
      <c r="F282" s="3" t="n"/>
      <c r="G282" s="3" t="n"/>
      <c r="H282" s="4" t="n"/>
      <c r="L282" s="2" t="n"/>
      <c r="N282" s="2" t="n"/>
    </row>
    <row r="283">
      <c r="D283" s="2" t="n"/>
      <c r="E283" s="3" t="n"/>
      <c r="F283" s="3" t="n"/>
      <c r="G283" s="3" t="n"/>
      <c r="H283" s="4" t="n"/>
      <c r="L283" s="2" t="n"/>
      <c r="N283" s="2" t="n"/>
    </row>
    <row r="284">
      <c r="D284" s="2" t="n"/>
      <c r="E284" s="3" t="n"/>
      <c r="F284" s="3" t="n"/>
      <c r="G284" s="3" t="n"/>
      <c r="H284" s="4" t="n"/>
      <c r="L284" s="2" t="n"/>
      <c r="N284" s="2" t="n"/>
    </row>
    <row r="285">
      <c r="D285" s="2" t="n"/>
      <c r="E285" s="3" t="n"/>
      <c r="F285" s="3" t="n"/>
      <c r="G285" s="3" t="n"/>
      <c r="H285" s="4" t="n"/>
      <c r="L285" s="2" t="n"/>
      <c r="N285" s="2" t="n"/>
    </row>
    <row r="286">
      <c r="D286" s="2" t="n"/>
      <c r="E286" s="3" t="n"/>
      <c r="F286" s="3" t="n"/>
      <c r="G286" s="3" t="n"/>
      <c r="H286" s="4" t="n"/>
      <c r="L286" s="2" t="n"/>
      <c r="N286" s="2" t="n"/>
    </row>
    <row r="287">
      <c r="D287" s="2" t="n"/>
      <c r="E287" s="3" t="n"/>
      <c r="F287" s="3" t="n"/>
      <c r="G287" s="3" t="n"/>
      <c r="H287" s="4" t="n"/>
      <c r="L287" s="2" t="n"/>
      <c r="N287" s="2" t="n"/>
    </row>
    <row r="288">
      <c r="D288" s="2" t="n"/>
      <c r="E288" s="3" t="n"/>
      <c r="F288" s="3" t="n"/>
      <c r="G288" s="3" t="n"/>
      <c r="H288" s="4" t="n"/>
      <c r="L288" s="2" t="n"/>
      <c r="N288" s="2" t="n"/>
    </row>
    <row r="289">
      <c r="D289" s="2" t="n"/>
      <c r="E289" s="3" t="n"/>
      <c r="F289" s="3" t="n"/>
      <c r="G289" s="3" t="n"/>
      <c r="H289" s="4" t="n"/>
      <c r="L289" s="2" t="n"/>
      <c r="N289" s="2" t="n"/>
    </row>
    <row r="290">
      <c r="D290" s="2" t="n"/>
      <c r="E290" s="3" t="n"/>
      <c r="F290" s="3" t="n"/>
      <c r="G290" s="3" t="n"/>
      <c r="H290" s="4" t="n"/>
      <c r="L290" s="2" t="n"/>
      <c r="N290" s="2" t="n"/>
    </row>
    <row r="291">
      <c r="D291" s="2" t="n"/>
      <c r="E291" s="3" t="n"/>
      <c r="F291" s="3" t="n"/>
      <c r="G291" s="3" t="n"/>
      <c r="H291" s="4" t="n"/>
      <c r="L291" s="2" t="n"/>
      <c r="N291" s="2" t="n"/>
    </row>
    <row r="292">
      <c r="D292" s="2" t="n"/>
      <c r="E292" s="3" t="n"/>
      <c r="F292" s="3" t="n"/>
      <c r="G292" s="3" t="n"/>
      <c r="H292" s="4" t="n"/>
      <c r="L292" s="2" t="n"/>
      <c r="N292" s="2" t="n"/>
    </row>
    <row r="293">
      <c r="D293" s="2" t="n"/>
      <c r="E293" s="3" t="n"/>
      <c r="F293" s="3" t="n"/>
      <c r="G293" s="3" t="n"/>
      <c r="H293" s="4" t="n"/>
      <c r="L293" s="2" t="n"/>
      <c r="N293" s="2" t="n"/>
    </row>
    <row r="294">
      <c r="D294" s="2" t="n"/>
      <c r="E294" s="3" t="n"/>
      <c r="F294" s="3" t="n"/>
      <c r="G294" s="3" t="n"/>
      <c r="H294" s="4" t="n"/>
      <c r="L294" s="2" t="n"/>
      <c r="N294" s="2" t="n"/>
    </row>
    <row r="295">
      <c r="D295" s="2" t="n"/>
      <c r="E295" s="3" t="n"/>
      <c r="F295" s="3" t="n"/>
      <c r="G295" s="3" t="n"/>
      <c r="H295" s="4" t="n"/>
      <c r="L295" s="2" t="n"/>
      <c r="N295" s="2" t="n"/>
    </row>
    <row r="296">
      <c r="D296" s="2" t="n"/>
      <c r="E296" s="3" t="n"/>
      <c r="F296" s="3" t="n"/>
      <c r="G296" s="3" t="n"/>
      <c r="H296" s="4" t="n"/>
      <c r="L296" s="2" t="n"/>
      <c r="N296" s="2" t="n"/>
    </row>
    <row r="297">
      <c r="D297" s="2" t="n"/>
      <c r="E297" s="3" t="n"/>
      <c r="F297" s="3" t="n"/>
      <c r="G297" s="3" t="n"/>
      <c r="H297" s="4" t="n"/>
      <c r="L297" s="2" t="n"/>
      <c r="N297" s="2" t="n"/>
    </row>
    <row r="298">
      <c r="D298" s="2" t="n"/>
      <c r="E298" s="3" t="n"/>
      <c r="F298" s="3" t="n"/>
      <c r="G298" s="3" t="n"/>
      <c r="H298" s="4" t="n"/>
      <c r="L298" s="2" t="n"/>
      <c r="N298" s="2" t="n"/>
    </row>
    <row r="299">
      <c r="D299" s="2" t="n"/>
      <c r="E299" s="3" t="n"/>
      <c r="F299" s="3" t="n"/>
      <c r="G299" s="3" t="n"/>
      <c r="H299" s="4" t="n"/>
      <c r="L299" s="2" t="n"/>
      <c r="N299" s="2" t="n"/>
    </row>
    <row r="300">
      <c r="D300" s="2" t="n"/>
      <c r="E300" s="3" t="n"/>
      <c r="F300" s="3" t="n"/>
      <c r="G300" s="3" t="n"/>
      <c r="H300" s="4" t="n"/>
      <c r="L300" s="2" t="n"/>
      <c r="N300" s="2" t="n"/>
    </row>
    <row r="301">
      <c r="D301" s="2" t="n"/>
      <c r="E301" s="3" t="n"/>
      <c r="F301" s="3" t="n"/>
      <c r="G301" s="3" t="n"/>
      <c r="H301" s="4" t="n"/>
      <c r="L301" s="2" t="n"/>
      <c r="N301" s="2" t="n"/>
    </row>
    <row r="302">
      <c r="D302" s="2" t="n"/>
      <c r="E302" s="3" t="n"/>
      <c r="F302" s="3" t="n"/>
      <c r="G302" s="3" t="n"/>
      <c r="H302" s="4" t="n"/>
      <c r="L302" s="2" t="n"/>
      <c r="N302" s="2" t="n"/>
    </row>
    <row r="303">
      <c r="D303" s="2" t="n"/>
      <c r="E303" s="3" t="n"/>
      <c r="F303" s="3" t="n"/>
      <c r="G303" s="3" t="n"/>
      <c r="H303" s="4" t="n"/>
      <c r="L303" s="2" t="n"/>
      <c r="N303" s="2" t="n"/>
    </row>
    <row r="304">
      <c r="D304" s="2" t="n"/>
      <c r="E304" s="3" t="n"/>
      <c r="F304" s="3" t="n"/>
      <c r="G304" s="3" t="n"/>
      <c r="H304" s="4" t="n"/>
      <c r="L304" s="2" t="n"/>
      <c r="N304" s="2" t="n"/>
    </row>
    <row r="305">
      <c r="D305" s="2" t="n"/>
      <c r="E305" s="3" t="n"/>
      <c r="F305" s="3" t="n"/>
      <c r="G305" s="3" t="n"/>
      <c r="H305" s="4" t="n"/>
      <c r="L305" s="2" t="n"/>
      <c r="N305" s="2" t="n"/>
    </row>
    <row r="306">
      <c r="D306" s="2" t="n"/>
      <c r="E306" s="3" t="n"/>
      <c r="F306" s="3" t="n"/>
      <c r="G306" s="3" t="n"/>
      <c r="H306" s="4" t="n"/>
      <c r="L306" s="2" t="n"/>
      <c r="N306" s="2" t="n"/>
    </row>
    <row r="307">
      <c r="D307" s="2" t="n"/>
      <c r="E307" s="3" t="n"/>
      <c r="F307" s="3" t="n"/>
      <c r="G307" s="3" t="n"/>
      <c r="H307" s="4" t="n"/>
      <c r="L307" s="2" t="n"/>
      <c r="N307" s="2" t="n"/>
    </row>
    <row r="308">
      <c r="D308" s="2" t="n"/>
      <c r="E308" s="3" t="n"/>
      <c r="F308" s="3" t="n"/>
      <c r="G308" s="3" t="n"/>
      <c r="H308" s="4" t="n"/>
      <c r="L308" s="2" t="n"/>
      <c r="N308" s="2" t="n"/>
    </row>
    <row r="309">
      <c r="D309" s="2" t="n"/>
      <c r="E309" s="3" t="n"/>
      <c r="F309" s="3" t="n"/>
      <c r="G309" s="3" t="n"/>
      <c r="H309" s="4" t="n"/>
      <c r="L309" s="2" t="n"/>
      <c r="N309" s="2" t="n"/>
    </row>
    <row r="310">
      <c r="D310" s="2" t="n"/>
      <c r="E310" s="3" t="n"/>
      <c r="F310" s="3" t="n"/>
      <c r="G310" s="3" t="n"/>
      <c r="H310" s="4" t="n"/>
      <c r="L310" s="2" t="n"/>
      <c r="N310" s="2" t="n"/>
    </row>
    <row r="311">
      <c r="D311" s="2" t="n"/>
      <c r="E311" s="3" t="n"/>
      <c r="F311" s="3" t="n"/>
      <c r="G311" s="3" t="n"/>
      <c r="H311" s="4" t="n"/>
      <c r="L311" s="2" t="n"/>
      <c r="N311" s="2" t="n"/>
    </row>
    <row r="312">
      <c r="D312" s="2" t="n"/>
      <c r="E312" s="3" t="n"/>
      <c r="F312" s="3" t="n"/>
      <c r="G312" s="3" t="n"/>
      <c r="H312" s="4" t="n"/>
      <c r="L312" s="2" t="n"/>
      <c r="N312" s="2" t="n"/>
    </row>
    <row r="313">
      <c r="D313" s="2" t="n"/>
      <c r="E313" s="3" t="n"/>
      <c r="F313" s="3" t="n"/>
      <c r="G313" s="3" t="n"/>
      <c r="H313" s="4" t="n"/>
      <c r="L313" s="2" t="n"/>
      <c r="N313" s="2" t="n"/>
    </row>
    <row r="314">
      <c r="D314" s="2" t="n"/>
      <c r="E314" s="3" t="n"/>
      <c r="F314" s="3" t="n"/>
      <c r="G314" s="3" t="n"/>
      <c r="H314" s="4" t="n"/>
      <c r="L314" s="2" t="n"/>
      <c r="N314" s="2" t="n"/>
    </row>
    <row r="315">
      <c r="D315" s="2" t="n"/>
      <c r="E315" s="3" t="n"/>
      <c r="F315" s="3" t="n"/>
      <c r="G315" s="3" t="n"/>
      <c r="H315" s="4" t="n"/>
      <c r="L315" s="2" t="n"/>
      <c r="N315" s="2" t="n"/>
    </row>
    <row r="316">
      <c r="D316" s="2" t="n"/>
      <c r="E316" s="3" t="n"/>
      <c r="F316" s="3" t="n"/>
      <c r="G316" s="3" t="n"/>
      <c r="H316" s="4" t="n"/>
      <c r="L316" s="2" t="n"/>
      <c r="N316" s="2" t="n"/>
    </row>
    <row r="317">
      <c r="D317" s="2" t="n"/>
      <c r="E317" s="3" t="n"/>
      <c r="F317" s="3" t="n"/>
      <c r="G317" s="3" t="n"/>
      <c r="H317" s="4" t="n"/>
      <c r="L317" s="2" t="n"/>
      <c r="N317" s="2" t="n"/>
    </row>
    <row r="318">
      <c r="D318" s="2" t="n"/>
      <c r="E318" s="3" t="n"/>
      <c r="F318" s="3" t="n"/>
      <c r="G318" s="3" t="n"/>
      <c r="H318" s="4" t="n"/>
      <c r="L318" s="2" t="n"/>
      <c r="N318" s="2" t="n"/>
    </row>
    <row r="319">
      <c r="D319" s="2" t="n"/>
      <c r="E319" s="3" t="n"/>
      <c r="F319" s="3" t="n"/>
      <c r="G319" s="3" t="n"/>
      <c r="H319" s="4" t="n"/>
      <c r="L319" s="2" t="n"/>
      <c r="N319" s="2" t="n"/>
    </row>
    <row r="320">
      <c r="D320" s="2" t="n"/>
      <c r="E320" s="3" t="n"/>
      <c r="F320" s="3" t="n"/>
      <c r="G320" s="3" t="n"/>
      <c r="H320" s="4" t="n"/>
      <c r="L320" s="2" t="n"/>
      <c r="N320" s="2" t="n"/>
    </row>
    <row r="321">
      <c r="D321" s="2" t="n"/>
      <c r="E321" s="3" t="n"/>
      <c r="F321" s="3" t="n"/>
      <c r="G321" s="3" t="n"/>
      <c r="H321" s="4" t="n"/>
      <c r="L321" s="2" t="n"/>
      <c r="N321" s="2" t="n"/>
    </row>
    <row r="322">
      <c r="D322" s="2" t="n"/>
      <c r="E322" s="3" t="n"/>
      <c r="F322" s="3" t="n"/>
      <c r="G322" s="3" t="n"/>
      <c r="H322" s="4" t="n"/>
      <c r="L322" s="2" t="n"/>
      <c r="N322" s="2" t="n"/>
    </row>
    <row r="323">
      <c r="D323" s="2" t="n"/>
      <c r="E323" s="3" t="n"/>
      <c r="F323" s="3" t="n"/>
      <c r="G323" s="3" t="n"/>
      <c r="H323" s="4" t="n"/>
      <c r="L323" s="2" t="n"/>
      <c r="N323" s="2" t="n"/>
    </row>
    <row r="324">
      <c r="D324" s="2" t="n"/>
      <c r="E324" s="3" t="n"/>
      <c r="F324" s="3" t="n"/>
      <c r="G324" s="3" t="n"/>
      <c r="H324" s="4" t="n"/>
      <c r="L324" s="2" t="n"/>
      <c r="N324" s="2" t="n"/>
    </row>
    <row r="325">
      <c r="D325" s="2" t="n"/>
      <c r="E325" s="3" t="n"/>
      <c r="F325" s="3" t="n"/>
      <c r="G325" s="3" t="n"/>
      <c r="H325" s="4" t="n"/>
      <c r="L325" s="2" t="n"/>
      <c r="N325" s="2" t="n"/>
    </row>
    <row r="326">
      <c r="D326" s="2" t="n"/>
      <c r="E326" s="3" t="n"/>
      <c r="F326" s="3" t="n"/>
      <c r="G326" s="3" t="n"/>
      <c r="H326" s="4" t="n"/>
      <c r="L326" s="2" t="n"/>
      <c r="N326" s="2" t="n"/>
    </row>
    <row r="327">
      <c r="D327" s="2" t="n"/>
      <c r="E327" s="3" t="n"/>
      <c r="F327" s="3" t="n"/>
      <c r="G327" s="3" t="n"/>
      <c r="H327" s="4" t="n"/>
      <c r="L327" s="2" t="n"/>
      <c r="N327" s="2" t="n"/>
    </row>
    <row r="328">
      <c r="D328" s="2" t="n"/>
      <c r="E328" s="3" t="n"/>
      <c r="F328" s="3" t="n"/>
      <c r="G328" s="3" t="n"/>
      <c r="H328" s="4" t="n"/>
      <c r="L328" s="2" t="n"/>
      <c r="N328" s="2" t="n"/>
    </row>
    <row r="329">
      <c r="D329" s="2" t="n"/>
      <c r="E329" s="3" t="n"/>
      <c r="F329" s="3" t="n"/>
      <c r="G329" s="3" t="n"/>
      <c r="H329" s="4" t="n"/>
      <c r="L329" s="2" t="n"/>
      <c r="N329" s="2" t="n"/>
    </row>
    <row r="330">
      <c r="D330" s="2" t="n"/>
      <c r="E330" s="3" t="n"/>
      <c r="F330" s="3" t="n"/>
      <c r="G330" s="3" t="n"/>
      <c r="H330" s="4" t="n"/>
      <c r="L330" s="2" t="n"/>
      <c r="N330" s="2" t="n"/>
    </row>
    <row r="331">
      <c r="D331" s="2" t="n"/>
      <c r="E331" s="3" t="n"/>
      <c r="F331" s="3" t="n"/>
      <c r="G331" s="3" t="n"/>
      <c r="H331" s="4" t="n"/>
      <c r="L331" s="2" t="n"/>
      <c r="N331" s="2" t="n"/>
    </row>
    <row r="332">
      <c r="D332" s="2" t="n"/>
      <c r="E332" s="3" t="n"/>
      <c r="F332" s="3" t="n"/>
      <c r="G332" s="3" t="n"/>
      <c r="H332" s="4" t="n"/>
      <c r="L332" s="2" t="n"/>
      <c r="N332" s="2" t="n"/>
    </row>
    <row r="333">
      <c r="D333" s="2" t="n"/>
      <c r="E333" s="3" t="n"/>
      <c r="F333" s="3" t="n"/>
      <c r="G333" s="3" t="n"/>
      <c r="H333" s="4" t="n"/>
      <c r="L333" s="2" t="n"/>
      <c r="N333" s="2" t="n"/>
    </row>
    <row r="334">
      <c r="D334" s="2" t="n"/>
      <c r="E334" s="3" t="n"/>
      <c r="F334" s="3" t="n"/>
      <c r="G334" s="3" t="n"/>
      <c r="H334" s="4" t="n"/>
      <c r="L334" s="2" t="n"/>
      <c r="N334" s="2" t="n"/>
    </row>
    <row r="335">
      <c r="D335" s="2" t="n"/>
      <c r="E335" s="3" t="n"/>
      <c r="F335" s="3" t="n"/>
      <c r="G335" s="3" t="n"/>
      <c r="H335" s="4" t="n"/>
      <c r="L335" s="2" t="n"/>
      <c r="N335" s="2" t="n"/>
    </row>
    <row r="336">
      <c r="D336" s="2" t="n"/>
      <c r="E336" s="3" t="n"/>
      <c r="F336" s="3" t="n"/>
      <c r="G336" s="3" t="n"/>
      <c r="H336" s="4" t="n"/>
      <c r="L336" s="2" t="n"/>
      <c r="N336" s="2" t="n"/>
    </row>
    <row r="337">
      <c r="D337" s="2" t="n"/>
      <c r="E337" s="3" t="n"/>
      <c r="F337" s="3" t="n"/>
      <c r="G337" s="3" t="n"/>
      <c r="H337" s="4" t="n"/>
      <c r="L337" s="2" t="n"/>
      <c r="N337" s="2" t="n"/>
    </row>
    <row r="338">
      <c r="D338" s="2" t="n"/>
      <c r="E338" s="3" t="n"/>
      <c r="F338" s="3" t="n"/>
      <c r="G338" s="3" t="n"/>
      <c r="H338" s="4" t="n"/>
      <c r="L338" s="2" t="n"/>
      <c r="N338" s="2" t="n"/>
    </row>
    <row r="339">
      <c r="D339" s="2" t="n"/>
      <c r="E339" s="3" t="n"/>
      <c r="F339" s="3" t="n"/>
      <c r="G339" s="3" t="n"/>
      <c r="H339" s="4" t="n"/>
      <c r="L339" s="2" t="n"/>
      <c r="N339" s="2" t="n"/>
    </row>
    <row r="340">
      <c r="D340" s="2" t="n"/>
      <c r="E340" s="3" t="n"/>
      <c r="F340" s="3" t="n"/>
      <c r="G340" s="3" t="n"/>
      <c r="H340" s="4" t="n"/>
      <c r="L340" s="2" t="n"/>
      <c r="N340" s="2" t="n"/>
    </row>
    <row r="341">
      <c r="D341" s="2" t="n"/>
      <c r="E341" s="3" t="n"/>
      <c r="F341" s="3" t="n"/>
      <c r="G341" s="3" t="n"/>
      <c r="H341" s="4" t="n"/>
      <c r="L341" s="2" t="n"/>
      <c r="N341" s="2" t="n"/>
    </row>
    <row r="342">
      <c r="D342" s="2" t="n"/>
      <c r="E342" s="3" t="n"/>
      <c r="F342" s="3" t="n"/>
      <c r="G342" s="3" t="n"/>
      <c r="H342" s="4" t="n"/>
      <c r="L342" s="2" t="n"/>
      <c r="N342" s="2" t="n"/>
    </row>
    <row r="343">
      <c r="D343" s="2" t="n"/>
      <c r="E343" s="3" t="n"/>
      <c r="F343" s="3" t="n"/>
      <c r="G343" s="3" t="n"/>
      <c r="H343" s="4" t="n"/>
      <c r="L343" s="2" t="n"/>
      <c r="N343" s="2" t="n"/>
    </row>
    <row r="344">
      <c r="D344" s="2" t="n"/>
      <c r="E344" s="3" t="n"/>
      <c r="F344" s="3" t="n"/>
      <c r="G344" s="3" t="n"/>
      <c r="H344" s="4" t="n"/>
      <c r="L344" s="2" t="n"/>
      <c r="N344" s="2" t="n"/>
    </row>
    <row r="345">
      <c r="D345" s="2" t="n"/>
      <c r="E345" s="3" t="n"/>
      <c r="F345" s="3" t="n"/>
      <c r="G345" s="3" t="n"/>
      <c r="H345" s="4" t="n"/>
      <c r="L345" s="2" t="n"/>
      <c r="N345" s="2" t="n"/>
    </row>
    <row r="346">
      <c r="D346" s="2" t="n"/>
      <c r="E346" s="3" t="n"/>
      <c r="F346" s="3" t="n"/>
      <c r="G346" s="3" t="n"/>
      <c r="H346" s="4" t="n"/>
      <c r="L346" s="2" t="n"/>
      <c r="N346" s="2" t="n"/>
    </row>
    <row r="347">
      <c r="D347" s="2" t="n"/>
      <c r="E347" s="3" t="n"/>
      <c r="F347" s="3" t="n"/>
      <c r="G347" s="3" t="n"/>
      <c r="H347" s="4" t="n"/>
      <c r="L347" s="2" t="n"/>
      <c r="N347" s="2" t="n"/>
    </row>
    <row r="348">
      <c r="D348" s="2" t="n"/>
      <c r="E348" s="3" t="n"/>
      <c r="F348" s="3" t="n"/>
      <c r="G348" s="3" t="n"/>
      <c r="H348" s="4" t="n"/>
      <c r="L348" s="2" t="n"/>
      <c r="N348" s="2" t="n"/>
    </row>
    <row r="349">
      <c r="D349" s="2" t="n"/>
      <c r="E349" s="3" t="n"/>
      <c r="F349" s="3" t="n"/>
      <c r="G349" s="3" t="n"/>
      <c r="H349" s="4" t="n"/>
      <c r="L349" s="2" t="n"/>
      <c r="N349" s="2" t="n"/>
    </row>
    <row r="350">
      <c r="D350" s="2" t="n"/>
      <c r="E350" s="3" t="n"/>
      <c r="F350" s="3" t="n"/>
      <c r="G350" s="3" t="n"/>
      <c r="H350" s="4" t="n"/>
      <c r="L350" s="2" t="n"/>
      <c r="N350" s="2" t="n"/>
    </row>
    <row r="351">
      <c r="D351" s="2" t="n"/>
      <c r="E351" s="3" t="n"/>
      <c r="F351" s="3" t="n"/>
      <c r="G351" s="3" t="n"/>
      <c r="H351" s="4" t="n"/>
      <c r="L351" s="2" t="n"/>
      <c r="N351" s="2" t="n"/>
    </row>
    <row r="352">
      <c r="D352" s="2" t="n"/>
      <c r="E352" s="3" t="n"/>
      <c r="F352" s="3" t="n"/>
      <c r="G352" s="3" t="n"/>
      <c r="H352" s="4" t="n"/>
      <c r="L352" s="2" t="n"/>
      <c r="N352" s="2" t="n"/>
    </row>
    <row r="353">
      <c r="D353" s="2" t="n"/>
      <c r="E353" s="3" t="n"/>
      <c r="F353" s="3" t="n"/>
      <c r="G353" s="3" t="n"/>
      <c r="H353" s="4" t="n"/>
      <c r="L353" s="2" t="n"/>
      <c r="N353" s="2" t="n"/>
    </row>
    <row r="354">
      <c r="D354" s="2" t="n"/>
      <c r="E354" s="3" t="n"/>
      <c r="F354" s="3" t="n"/>
      <c r="G354" s="3" t="n"/>
      <c r="H354" s="4" t="n"/>
      <c r="L354" s="2" t="n"/>
      <c r="N354" s="2" t="n"/>
    </row>
    <row r="355">
      <c r="D355" s="2" t="n"/>
      <c r="E355" s="3" t="n"/>
      <c r="F355" s="3" t="n"/>
      <c r="G355" s="3" t="n"/>
      <c r="H355" s="4" t="n"/>
      <c r="L355" s="2" t="n"/>
      <c r="N355" s="2" t="n"/>
    </row>
    <row r="356">
      <c r="D356" s="2" t="n"/>
      <c r="E356" s="3" t="n"/>
      <c r="F356" s="3" t="n"/>
      <c r="G356" s="3" t="n"/>
      <c r="H356" s="4" t="n"/>
      <c r="L356" s="2" t="n"/>
      <c r="N356" s="2" t="n"/>
    </row>
    <row r="357">
      <c r="D357" s="2" t="n"/>
      <c r="E357" s="3" t="n"/>
      <c r="F357" s="3" t="n"/>
      <c r="G357" s="3" t="n"/>
      <c r="H357" s="4" t="n"/>
      <c r="L357" s="2" t="n"/>
      <c r="N357" s="2" t="n"/>
    </row>
    <row r="358">
      <c r="D358" s="2" t="n"/>
      <c r="E358" s="3" t="n"/>
      <c r="F358" s="3" t="n"/>
      <c r="G358" s="3" t="n"/>
      <c r="H358" s="4" t="n"/>
      <c r="L358" s="2" t="n"/>
      <c r="N358" s="2" t="n"/>
    </row>
    <row r="359">
      <c r="D359" s="2" t="n"/>
      <c r="E359" s="3" t="n"/>
      <c r="F359" s="3" t="n"/>
      <c r="G359" s="3" t="n"/>
      <c r="H359" s="4" t="n"/>
      <c r="L359" s="2" t="n"/>
      <c r="N359" s="2" t="n"/>
    </row>
    <row r="360">
      <c r="D360" s="2" t="n"/>
      <c r="E360" s="3" t="n"/>
      <c r="F360" s="3" t="n"/>
      <c r="G360" s="3" t="n"/>
      <c r="H360" s="4" t="n"/>
      <c r="L360" s="2" t="n"/>
      <c r="N360" s="2" t="n"/>
    </row>
    <row r="361">
      <c r="D361" s="2" t="n"/>
      <c r="E361" s="3" t="n"/>
      <c r="F361" s="3" t="n"/>
      <c r="G361" s="3" t="n"/>
      <c r="H361" s="4" t="n"/>
      <c r="L361" s="2" t="n"/>
      <c r="N361" s="2" t="n"/>
    </row>
    <row r="362">
      <c r="D362" s="2" t="n"/>
      <c r="E362" s="3" t="n"/>
      <c r="F362" s="3" t="n"/>
      <c r="G362" s="3" t="n"/>
      <c r="H362" s="4" t="n"/>
      <c r="L362" s="2" t="n"/>
      <c r="N362" s="2" t="n"/>
    </row>
    <row r="363">
      <c r="D363" s="2" t="n"/>
      <c r="E363" s="3" t="n"/>
      <c r="F363" s="3" t="n"/>
      <c r="G363" s="3" t="n"/>
      <c r="H363" s="4" t="n"/>
      <c r="L363" s="2" t="n"/>
      <c r="N363" s="2" t="n"/>
    </row>
    <row r="364">
      <c r="D364" s="2" t="n"/>
      <c r="E364" s="3" t="n"/>
      <c r="F364" s="3" t="n"/>
      <c r="G364" s="3" t="n"/>
      <c r="H364" s="4" t="n"/>
      <c r="L364" s="2" t="n"/>
      <c r="N364" s="2" t="n"/>
    </row>
    <row r="365">
      <c r="D365" s="2" t="n"/>
      <c r="E365" s="3" t="n"/>
      <c r="F365" s="3" t="n"/>
      <c r="G365" s="3" t="n"/>
      <c r="H365" s="4" t="n"/>
      <c r="L365" s="2" t="n"/>
      <c r="N365" s="2" t="n"/>
    </row>
    <row r="366">
      <c r="D366" s="2" t="n"/>
      <c r="E366" s="3" t="n"/>
      <c r="F366" s="3" t="n"/>
      <c r="G366" s="3" t="n"/>
      <c r="H366" s="4" t="n"/>
      <c r="L366" s="2" t="n"/>
      <c r="N366" s="2" t="n"/>
    </row>
    <row r="367">
      <c r="D367" s="2" t="n"/>
      <c r="E367" s="3" t="n"/>
      <c r="F367" s="3" t="n"/>
      <c r="G367" s="3" t="n"/>
      <c r="H367" s="4" t="n"/>
      <c r="L367" s="2" t="n"/>
      <c r="N367" s="2" t="n"/>
    </row>
    <row r="368">
      <c r="D368" s="2" t="n"/>
      <c r="E368" s="3" t="n"/>
      <c r="F368" s="3" t="n"/>
      <c r="G368" s="3" t="n"/>
      <c r="H368" s="4" t="n"/>
      <c r="L368" s="2" t="n"/>
      <c r="N368" s="2" t="n"/>
    </row>
    <row r="369">
      <c r="D369" s="2" t="n"/>
      <c r="E369" s="3" t="n"/>
      <c r="F369" s="3" t="n"/>
      <c r="G369" s="3" t="n"/>
      <c r="H369" s="4" t="n"/>
      <c r="L369" s="2" t="n"/>
      <c r="N369" s="2" t="n"/>
    </row>
    <row r="370">
      <c r="D370" s="2" t="n"/>
      <c r="E370" s="3" t="n"/>
      <c r="F370" s="3" t="n"/>
      <c r="G370" s="3" t="n"/>
      <c r="H370" s="4" t="n"/>
      <c r="L370" s="2" t="n"/>
      <c r="N370" s="2" t="n"/>
    </row>
    <row r="371">
      <c r="D371" s="2" t="n"/>
      <c r="E371" s="3" t="n"/>
      <c r="F371" s="3" t="n"/>
      <c r="G371" s="3" t="n"/>
      <c r="H371" s="4" t="n"/>
      <c r="L371" s="2" t="n"/>
      <c r="N371" s="2" t="n"/>
    </row>
    <row r="372">
      <c r="D372" s="2" t="n"/>
      <c r="E372" s="3" t="n"/>
      <c r="F372" s="3" t="n"/>
      <c r="G372" s="3" t="n"/>
      <c r="H372" s="4" t="n"/>
      <c r="L372" s="2" t="n"/>
      <c r="N372" s="2" t="n"/>
    </row>
    <row r="373">
      <c r="D373" s="2" t="n"/>
      <c r="E373" s="3" t="n"/>
      <c r="F373" s="3" t="n"/>
      <c r="G373" s="3" t="n"/>
      <c r="H373" s="4" t="n"/>
      <c r="L373" s="2" t="n"/>
      <c r="N373" s="2" t="n"/>
    </row>
    <row r="374">
      <c r="D374" s="2" t="n"/>
      <c r="E374" s="3" t="n"/>
      <c r="F374" s="3" t="n"/>
      <c r="G374" s="3" t="n"/>
      <c r="H374" s="4" t="n"/>
      <c r="L374" s="2" t="n"/>
      <c r="N374" s="2" t="n"/>
    </row>
    <row r="375">
      <c r="D375" s="2" t="n"/>
      <c r="E375" s="3" t="n"/>
      <c r="F375" s="3" t="n"/>
      <c r="G375" s="3" t="n"/>
      <c r="H375" s="4" t="n"/>
      <c r="L375" s="2" t="n"/>
      <c r="N375" s="2" t="n"/>
    </row>
    <row r="376">
      <c r="D376" s="2" t="n"/>
      <c r="E376" s="3" t="n"/>
      <c r="F376" s="3" t="n"/>
      <c r="G376" s="3" t="n"/>
      <c r="H376" s="4" t="n"/>
      <c r="L376" s="2" t="n"/>
      <c r="N376" s="2" t="n"/>
    </row>
    <row r="377">
      <c r="D377" s="2" t="n"/>
      <c r="E377" s="3" t="n"/>
      <c r="F377" s="3" t="n"/>
      <c r="G377" s="3" t="n"/>
      <c r="H377" s="4" t="n"/>
      <c r="L377" s="2" t="n"/>
      <c r="N377" s="2" t="n"/>
    </row>
    <row r="378">
      <c r="D378" s="2" t="n"/>
      <c r="E378" s="3" t="n"/>
      <c r="F378" s="3" t="n"/>
      <c r="G378" s="3" t="n"/>
      <c r="H378" s="4" t="n"/>
      <c r="L378" s="2" t="n"/>
      <c r="N378" s="2" t="n"/>
    </row>
    <row r="379">
      <c r="D379" s="2" t="n"/>
      <c r="E379" s="3" t="n"/>
      <c r="F379" s="3" t="n"/>
      <c r="G379" s="3" t="n"/>
      <c r="H379" s="4" t="n"/>
      <c r="L379" s="2" t="n"/>
      <c r="N379" s="2" t="n"/>
    </row>
    <row r="380">
      <c r="D380" s="2" t="n"/>
      <c r="E380" s="3" t="n"/>
      <c r="F380" s="3" t="n"/>
      <c r="G380" s="3" t="n"/>
      <c r="H380" s="4" t="n"/>
      <c r="L380" s="2" t="n"/>
      <c r="N380" s="2" t="n"/>
    </row>
    <row r="381">
      <c r="D381" s="2" t="n"/>
      <c r="E381" s="3" t="n"/>
      <c r="F381" s="3" t="n"/>
      <c r="G381" s="3" t="n"/>
      <c r="H381" s="4" t="n"/>
      <c r="L381" s="2" t="n"/>
      <c r="N381" s="2" t="n"/>
    </row>
    <row r="382">
      <c r="D382" s="2" t="n"/>
      <c r="E382" s="3" t="n"/>
      <c r="F382" s="3" t="n"/>
      <c r="G382" s="3" t="n"/>
      <c r="H382" s="4" t="n"/>
      <c r="L382" s="2" t="n"/>
      <c r="N382" s="2" t="n"/>
    </row>
    <row r="383">
      <c r="D383" s="2" t="n"/>
      <c r="E383" s="3" t="n"/>
      <c r="F383" s="3" t="n"/>
      <c r="G383" s="3" t="n"/>
      <c r="H383" s="4" t="n"/>
      <c r="L383" s="2" t="n"/>
      <c r="N383" s="2" t="n"/>
    </row>
    <row r="384">
      <c r="D384" s="2" t="n"/>
      <c r="E384" s="3" t="n"/>
      <c r="F384" s="3" t="n"/>
      <c r="G384" s="3" t="n"/>
      <c r="H384" s="4" t="n"/>
      <c r="L384" s="2" t="n"/>
      <c r="N384" s="2" t="n"/>
    </row>
    <row r="385">
      <c r="D385" s="2" t="n"/>
      <c r="E385" s="3" t="n"/>
      <c r="F385" s="3" t="n"/>
      <c r="G385" s="3" t="n"/>
      <c r="H385" s="4" t="n"/>
      <c r="L385" s="2" t="n"/>
      <c r="N385" s="2" t="n"/>
    </row>
    <row r="386">
      <c r="D386" s="2" t="n"/>
      <c r="E386" s="3" t="n"/>
      <c r="F386" s="3" t="n"/>
      <c r="G386" s="3" t="n"/>
      <c r="H386" s="4" t="n"/>
      <c r="L386" s="2" t="n"/>
      <c r="N386" s="2" t="n"/>
    </row>
    <row r="387">
      <c r="D387" s="2" t="n"/>
      <c r="E387" s="3" t="n"/>
      <c r="F387" s="3" t="n"/>
      <c r="G387" s="3" t="n"/>
      <c r="H387" s="4" t="n"/>
      <c r="L387" s="2" t="n"/>
      <c r="N387" s="2" t="n"/>
    </row>
    <row r="388">
      <c r="D388" s="2" t="n"/>
      <c r="E388" s="3" t="n"/>
      <c r="F388" s="3" t="n"/>
      <c r="G388" s="3" t="n"/>
      <c r="H388" s="4" t="n"/>
      <c r="L388" s="2" t="n"/>
      <c r="N388" s="2" t="n"/>
    </row>
    <row r="389">
      <c r="D389" s="2" t="n"/>
      <c r="E389" s="3" t="n"/>
      <c r="F389" s="3" t="n"/>
      <c r="G389" s="3" t="n"/>
      <c r="H389" s="4" t="n"/>
      <c r="L389" s="2" t="n"/>
      <c r="N389" s="2" t="n"/>
    </row>
    <row r="390">
      <c r="D390" s="2" t="n"/>
      <c r="E390" s="3" t="n"/>
      <c r="F390" s="3" t="n"/>
      <c r="G390" s="3" t="n"/>
      <c r="H390" s="4" t="n"/>
      <c r="L390" s="2" t="n"/>
      <c r="N390" s="2" t="n"/>
    </row>
    <row r="391">
      <c r="D391" s="2" t="n"/>
      <c r="E391" s="3" t="n"/>
      <c r="F391" s="3" t="n"/>
      <c r="G391" s="3" t="n"/>
      <c r="H391" s="4" t="n"/>
      <c r="L391" s="2" t="n"/>
      <c r="N391" s="2" t="n"/>
    </row>
    <row r="392">
      <c r="D392" s="2" t="n"/>
      <c r="E392" s="3" t="n"/>
      <c r="F392" s="3" t="n"/>
      <c r="G392" s="3" t="n"/>
      <c r="H392" s="4" t="n"/>
      <c r="L392" s="2" t="n"/>
      <c r="N392" s="2" t="n"/>
    </row>
    <row r="393">
      <c r="D393" s="2" t="n"/>
      <c r="E393" s="3" t="n"/>
      <c r="F393" s="3" t="n"/>
      <c r="G393" s="3" t="n"/>
      <c r="H393" s="4" t="n"/>
      <c r="L393" s="2" t="n"/>
      <c r="N393" s="2" t="n"/>
    </row>
    <row r="394">
      <c r="D394" s="2" t="n"/>
      <c r="E394" s="3" t="n"/>
      <c r="F394" s="3" t="n"/>
      <c r="G394" s="3" t="n"/>
      <c r="H394" s="4" t="n"/>
      <c r="L394" s="2" t="n"/>
      <c r="N394" s="2" t="n"/>
    </row>
    <row r="395">
      <c r="D395" s="2" t="n"/>
      <c r="E395" s="3" t="n"/>
      <c r="F395" s="3" t="n"/>
      <c r="G395" s="3" t="n"/>
      <c r="H395" s="4" t="n"/>
      <c r="L395" s="2" t="n"/>
      <c r="N395" s="2" t="n"/>
    </row>
    <row r="396">
      <c r="D396" s="2" t="n"/>
      <c r="E396" s="3" t="n"/>
      <c r="F396" s="3" t="n"/>
      <c r="G396" s="3" t="n"/>
      <c r="H396" s="4" t="n"/>
      <c r="L396" s="2" t="n"/>
      <c r="N396" s="2" t="n"/>
    </row>
    <row r="397">
      <c r="D397" s="2" t="n"/>
      <c r="E397" s="3" t="n"/>
      <c r="F397" s="3" t="n"/>
      <c r="G397" s="3" t="n"/>
      <c r="H397" s="4" t="n"/>
      <c r="L397" s="2" t="n"/>
      <c r="N397" s="2" t="n"/>
    </row>
    <row r="398">
      <c r="D398" s="2" t="n"/>
      <c r="E398" s="3" t="n"/>
      <c r="F398" s="3" t="n"/>
      <c r="G398" s="3" t="n"/>
      <c r="H398" s="4" t="n"/>
      <c r="L398" s="2" t="n"/>
      <c r="N398" s="2" t="n"/>
    </row>
    <row r="399">
      <c r="D399" s="2" t="n"/>
      <c r="E399" s="3" t="n"/>
      <c r="F399" s="3" t="n"/>
      <c r="G399" s="3" t="n"/>
      <c r="H399" s="4" t="n"/>
      <c r="L399" s="2" t="n"/>
      <c r="N399" s="2" t="n"/>
    </row>
    <row r="400">
      <c r="D400" s="2" t="n"/>
      <c r="E400" s="3" t="n"/>
      <c r="F400" s="3" t="n"/>
      <c r="G400" s="3" t="n"/>
      <c r="H400" s="4" t="n"/>
      <c r="L400" s="2" t="n"/>
      <c r="N400" s="2" t="n"/>
    </row>
    <row r="401">
      <c r="D401" s="2" t="n"/>
      <c r="E401" s="3" t="n"/>
      <c r="F401" s="3" t="n"/>
      <c r="G401" s="3" t="n"/>
      <c r="H401" s="4" t="n"/>
      <c r="L401" s="2" t="n"/>
      <c r="N401" s="2" t="n"/>
    </row>
    <row r="402">
      <c r="D402" s="2" t="n"/>
      <c r="E402" s="3" t="n"/>
      <c r="F402" s="3" t="n"/>
      <c r="G402" s="3" t="n"/>
      <c r="H402" s="4" t="n"/>
      <c r="L402" s="2" t="n"/>
      <c r="N402" s="2" t="n"/>
    </row>
    <row r="403">
      <c r="D403" s="2" t="n"/>
      <c r="E403" s="3" t="n"/>
      <c r="F403" s="3" t="n"/>
      <c r="G403" s="3" t="n"/>
      <c r="H403" s="4" t="n"/>
      <c r="L403" s="2" t="n"/>
      <c r="N403" s="2" t="n"/>
    </row>
    <row r="404">
      <c r="D404" s="2" t="n"/>
      <c r="E404" s="3" t="n"/>
      <c r="F404" s="3" t="n"/>
      <c r="G404" s="3" t="n"/>
      <c r="H404" s="4" t="n"/>
      <c r="L404" s="2" t="n"/>
      <c r="N404" s="2" t="n"/>
    </row>
    <row r="405">
      <c r="D405" s="2" t="n"/>
      <c r="E405" s="3" t="n"/>
      <c r="F405" s="3" t="n"/>
      <c r="G405" s="3" t="n"/>
      <c r="H405" s="4" t="n"/>
      <c r="L405" s="2" t="n"/>
      <c r="N405" s="2" t="n"/>
    </row>
    <row r="406">
      <c r="D406" s="2" t="n"/>
      <c r="E406" s="3" t="n"/>
      <c r="F406" s="3" t="n"/>
      <c r="G406" s="3" t="n"/>
      <c r="H406" s="4" t="n"/>
      <c r="L406" s="2" t="n"/>
      <c r="N406" s="2" t="n"/>
    </row>
    <row r="407">
      <c r="D407" s="2" t="n"/>
      <c r="E407" s="3" t="n"/>
      <c r="F407" s="3" t="n"/>
      <c r="G407" s="3" t="n"/>
      <c r="H407" s="4" t="n"/>
      <c r="L407" s="2" t="n"/>
      <c r="N407" s="2" t="n"/>
    </row>
    <row r="408">
      <c r="D408" s="2" t="n"/>
      <c r="E408" s="3" t="n"/>
      <c r="F408" s="3" t="n"/>
      <c r="G408" s="3" t="n"/>
      <c r="H408" s="4" t="n"/>
      <c r="L408" s="2" t="n"/>
      <c r="N408" s="2" t="n"/>
    </row>
    <row r="409">
      <c r="D409" s="2" t="n"/>
      <c r="E409" s="3" t="n"/>
      <c r="F409" s="3" t="n"/>
      <c r="G409" s="3" t="n"/>
      <c r="H409" s="4" t="n"/>
      <c r="L409" s="2" t="n"/>
      <c r="N409" s="2" t="n"/>
    </row>
    <row r="410">
      <c r="D410" s="2" t="n"/>
      <c r="E410" s="3" t="n"/>
      <c r="F410" s="3" t="n"/>
      <c r="G410" s="3" t="n"/>
      <c r="H410" s="4" t="n"/>
      <c r="L410" s="2" t="n"/>
      <c r="N410" s="2" t="n"/>
    </row>
    <row r="411">
      <c r="D411" s="2" t="n"/>
      <c r="E411" s="3" t="n"/>
      <c r="F411" s="3" t="n"/>
      <c r="G411" s="3" t="n"/>
      <c r="H411" s="4" t="n"/>
      <c r="L411" s="2" t="n"/>
      <c r="N411" s="2" t="n"/>
    </row>
    <row r="412">
      <c r="D412" s="2" t="n"/>
      <c r="E412" s="3" t="n"/>
      <c r="F412" s="3" t="n"/>
      <c r="G412" s="3" t="n"/>
      <c r="H412" s="4" t="n"/>
      <c r="L412" s="2" t="n"/>
      <c r="N412" s="2" t="n"/>
    </row>
    <row r="413">
      <c r="D413" s="2" t="n"/>
      <c r="E413" s="3" t="n"/>
      <c r="F413" s="3" t="n"/>
      <c r="G413" s="3" t="n"/>
      <c r="H413" s="4" t="n"/>
      <c r="L413" s="2" t="n"/>
      <c r="N413" s="2" t="n"/>
    </row>
    <row r="414">
      <c r="D414" s="2" t="n"/>
      <c r="E414" s="3" t="n"/>
      <c r="F414" s="3" t="n"/>
      <c r="G414" s="3" t="n"/>
      <c r="H414" s="4" t="n"/>
      <c r="L414" s="2" t="n"/>
      <c r="N414" s="2" t="n"/>
    </row>
    <row r="415">
      <c r="D415" s="2" t="n"/>
      <c r="E415" s="3" t="n"/>
      <c r="F415" s="3" t="n"/>
      <c r="G415" s="3" t="n"/>
      <c r="H415" s="4" t="n"/>
      <c r="L415" s="2" t="n"/>
      <c r="N415" s="2" t="n"/>
    </row>
    <row r="416">
      <c r="D416" s="2" t="n"/>
      <c r="E416" s="3" t="n"/>
      <c r="F416" s="3" t="n"/>
      <c r="G416" s="3" t="n"/>
      <c r="H416" s="4" t="n"/>
      <c r="L416" s="2" t="n"/>
      <c r="N416" s="2" t="n"/>
    </row>
    <row r="417">
      <c r="D417" s="2" t="n"/>
      <c r="E417" s="3" t="n"/>
      <c r="F417" s="3" t="n"/>
      <c r="G417" s="3" t="n"/>
      <c r="H417" s="4" t="n"/>
      <c r="L417" s="2" t="n"/>
      <c r="N417" s="2" t="n"/>
    </row>
    <row r="418">
      <c r="D418" s="2" t="n"/>
      <c r="E418" s="3" t="n"/>
      <c r="F418" s="3" t="n"/>
      <c r="G418" s="3" t="n"/>
      <c r="H418" s="4" t="n"/>
      <c r="L418" s="2" t="n"/>
      <c r="N418" s="2" t="n"/>
    </row>
    <row r="419">
      <c r="D419" s="2" t="n"/>
      <c r="E419" s="3" t="n"/>
      <c r="F419" s="3" t="n"/>
      <c r="G419" s="3" t="n"/>
      <c r="H419" s="4" t="n"/>
      <c r="L419" s="2" t="n"/>
      <c r="N419" s="2" t="n"/>
    </row>
    <row r="420">
      <c r="D420" s="2" t="n"/>
      <c r="E420" s="3" t="n"/>
      <c r="F420" s="3" t="n"/>
      <c r="G420" s="3" t="n"/>
      <c r="H420" s="4" t="n"/>
      <c r="L420" s="2" t="n"/>
      <c r="N420" s="2" t="n"/>
    </row>
    <row r="421">
      <c r="D421" s="2" t="n"/>
      <c r="E421" s="3" t="n"/>
      <c r="F421" s="3" t="n"/>
      <c r="G421" s="3" t="n"/>
      <c r="H421" s="4" t="n"/>
      <c r="L421" s="2" t="n"/>
      <c r="N421" s="2" t="n"/>
    </row>
    <row r="422">
      <c r="D422" s="2" t="n"/>
      <c r="E422" s="3" t="n"/>
      <c r="F422" s="3" t="n"/>
      <c r="G422" s="3" t="n"/>
      <c r="H422" s="4" t="n"/>
      <c r="L422" s="2" t="n"/>
      <c r="N422" s="2" t="n"/>
    </row>
    <row r="423">
      <c r="D423" s="2" t="n"/>
      <c r="E423" s="3" t="n"/>
      <c r="F423" s="3" t="n"/>
      <c r="G423" s="3" t="n"/>
      <c r="H423" s="4" t="n"/>
      <c r="L423" s="2" t="n"/>
      <c r="N423" s="2" t="n"/>
    </row>
    <row r="424">
      <c r="D424" s="2" t="n"/>
      <c r="E424" s="3" t="n"/>
      <c r="F424" s="3" t="n"/>
      <c r="G424" s="3" t="n"/>
      <c r="H424" s="4" t="n"/>
      <c r="L424" s="2" t="n"/>
      <c r="N424" s="2" t="n"/>
    </row>
    <row r="425">
      <c r="D425" s="2" t="n"/>
      <c r="E425" s="3" t="n"/>
      <c r="F425" s="3" t="n"/>
      <c r="G425" s="3" t="n"/>
      <c r="H425" s="4" t="n"/>
      <c r="L425" s="2" t="n"/>
      <c r="N425" s="2" t="n"/>
    </row>
    <row r="426">
      <c r="D426" s="2" t="n"/>
      <c r="E426" s="3" t="n"/>
      <c r="F426" s="3" t="n"/>
      <c r="G426" s="3" t="n"/>
      <c r="H426" s="4" t="n"/>
      <c r="L426" s="2" t="n"/>
      <c r="N426" s="2" t="n"/>
    </row>
    <row r="427">
      <c r="D427" s="2" t="n"/>
      <c r="E427" s="3" t="n"/>
      <c r="F427" s="3" t="n"/>
      <c r="G427" s="3" t="n"/>
      <c r="H427" s="4" t="n"/>
      <c r="L427" s="2" t="n"/>
      <c r="N427" s="2" t="n"/>
    </row>
    <row r="428">
      <c r="D428" s="2" t="n"/>
      <c r="E428" s="3" t="n"/>
      <c r="F428" s="3" t="n"/>
      <c r="G428" s="3" t="n"/>
      <c r="H428" s="4" t="n"/>
      <c r="L428" s="2" t="n"/>
      <c r="N428" s="2" t="n"/>
    </row>
    <row r="429">
      <c r="D429" s="2" t="n"/>
      <c r="E429" s="3" t="n"/>
      <c r="F429" s="3" t="n"/>
      <c r="G429" s="3" t="n"/>
      <c r="H429" s="4" t="n"/>
      <c r="L429" s="2" t="n"/>
      <c r="N429" s="2" t="n"/>
    </row>
    <row r="430">
      <c r="D430" s="2" t="n"/>
      <c r="E430" s="3" t="n"/>
      <c r="F430" s="3" t="n"/>
      <c r="G430" s="3" t="n"/>
      <c r="H430" s="4" t="n"/>
      <c r="L430" s="2" t="n"/>
      <c r="N430" s="2" t="n"/>
    </row>
    <row r="431">
      <c r="D431" s="2" t="n"/>
      <c r="E431" s="3" t="n"/>
      <c r="F431" s="3" t="n"/>
      <c r="G431" s="3" t="n"/>
      <c r="H431" s="4" t="n"/>
      <c r="L431" s="2" t="n"/>
      <c r="N431" s="2" t="n"/>
    </row>
    <row r="432">
      <c r="D432" s="2" t="n"/>
      <c r="E432" s="3" t="n"/>
      <c r="F432" s="3" t="n"/>
      <c r="G432" s="3" t="n"/>
      <c r="H432" s="4" t="n"/>
      <c r="L432" s="2" t="n"/>
      <c r="N432" s="2" t="n"/>
    </row>
    <row r="433">
      <c r="D433" s="2" t="n"/>
      <c r="E433" s="3" t="n"/>
      <c r="F433" s="3" t="n"/>
      <c r="G433" s="3" t="n"/>
      <c r="H433" s="4" t="n"/>
      <c r="L433" s="2" t="n"/>
      <c r="N433" s="2" t="n"/>
    </row>
    <row r="434">
      <c r="D434" s="2" t="n"/>
      <c r="E434" s="3" t="n"/>
      <c r="F434" s="3" t="n"/>
      <c r="G434" s="3" t="n"/>
      <c r="H434" s="4" t="n"/>
      <c r="L434" s="2" t="n"/>
      <c r="N434" s="2" t="n"/>
    </row>
    <row r="435">
      <c r="D435" s="2" t="n"/>
      <c r="E435" s="3" t="n"/>
      <c r="F435" s="3" t="n"/>
      <c r="G435" s="3" t="n"/>
      <c r="H435" s="4" t="n"/>
      <c r="L435" s="2" t="n"/>
      <c r="N435" s="2" t="n"/>
    </row>
    <row r="436">
      <c r="D436" s="2" t="n"/>
      <c r="E436" s="3" t="n"/>
      <c r="F436" s="3" t="n"/>
      <c r="G436" s="3" t="n"/>
      <c r="H436" s="4" t="n"/>
      <c r="L436" s="2" t="n"/>
      <c r="N436" s="2" t="n"/>
    </row>
    <row r="437">
      <c r="D437" s="2" t="n"/>
      <c r="E437" s="3" t="n"/>
      <c r="F437" s="3" t="n"/>
      <c r="G437" s="3" t="n"/>
      <c r="H437" s="4" t="n"/>
      <c r="L437" s="2" t="n"/>
      <c r="N437" s="2" t="n"/>
    </row>
    <row r="438">
      <c r="D438" s="2" t="n"/>
      <c r="E438" s="3" t="n"/>
      <c r="F438" s="3" t="n"/>
      <c r="G438" s="3" t="n"/>
      <c r="H438" s="4" t="n"/>
      <c r="L438" s="2" t="n"/>
      <c r="N438" s="2" t="n"/>
    </row>
    <row r="439">
      <c r="D439" s="2" t="n"/>
      <c r="E439" s="3" t="n"/>
      <c r="F439" s="3" t="n"/>
      <c r="G439" s="3" t="n"/>
      <c r="H439" s="4" t="n"/>
      <c r="L439" s="2" t="n"/>
      <c r="N439" s="2" t="n"/>
    </row>
    <row r="440">
      <c r="D440" s="2" t="n"/>
      <c r="E440" s="3" t="n"/>
      <c r="F440" s="3" t="n"/>
      <c r="G440" s="3" t="n"/>
      <c r="H440" s="4" t="n"/>
      <c r="L440" s="2" t="n"/>
      <c r="N440" s="2" t="n"/>
    </row>
    <row r="441">
      <c r="D441" s="2" t="n"/>
      <c r="E441" s="3" t="n"/>
      <c r="F441" s="3" t="n"/>
      <c r="G441" s="3" t="n"/>
      <c r="H441" s="4" t="n"/>
      <c r="L441" s="2" t="n"/>
      <c r="N441" s="2" t="n"/>
    </row>
    <row r="442">
      <c r="D442" s="2" t="n"/>
      <c r="E442" s="3" t="n"/>
      <c r="F442" s="3" t="n"/>
      <c r="G442" s="3" t="n"/>
      <c r="H442" s="4" t="n"/>
      <c r="L442" s="2" t="n"/>
      <c r="N442" s="2" t="n"/>
    </row>
    <row r="443">
      <c r="D443" s="2" t="n"/>
      <c r="E443" s="3" t="n"/>
      <c r="F443" s="3" t="n"/>
      <c r="G443" s="3" t="n"/>
      <c r="H443" s="4" t="n"/>
      <c r="L443" s="2" t="n"/>
      <c r="N443" s="2" t="n"/>
    </row>
    <row r="444">
      <c r="D444" s="2" t="n"/>
      <c r="E444" s="3" t="n"/>
      <c r="F444" s="3" t="n"/>
      <c r="G444" s="3" t="n"/>
      <c r="H444" s="4" t="n"/>
      <c r="L444" s="2" t="n"/>
      <c r="N444" s="2" t="n"/>
    </row>
    <row r="445">
      <c r="D445" s="2" t="n"/>
      <c r="E445" s="3" t="n"/>
      <c r="F445" s="3" t="n"/>
      <c r="G445" s="3" t="n"/>
      <c r="H445" s="4" t="n"/>
      <c r="L445" s="2" t="n"/>
      <c r="N445" s="2" t="n"/>
    </row>
    <row r="446">
      <c r="D446" s="2" t="n"/>
      <c r="E446" s="3" t="n"/>
      <c r="F446" s="3" t="n"/>
      <c r="G446" s="3" t="n"/>
      <c r="H446" s="4" t="n"/>
      <c r="L446" s="2" t="n"/>
      <c r="N446" s="2" t="n"/>
    </row>
    <row r="447">
      <c r="D447" s="2" t="n"/>
      <c r="E447" s="3" t="n"/>
      <c r="F447" s="3" t="n"/>
      <c r="G447" s="3" t="n"/>
      <c r="H447" s="4" t="n"/>
      <c r="L447" s="2" t="n"/>
      <c r="N447" s="2" t="n"/>
    </row>
    <row r="448">
      <c r="D448" s="2" t="n"/>
      <c r="E448" s="3" t="n"/>
      <c r="F448" s="3" t="n"/>
      <c r="G448" s="3" t="n"/>
      <c r="H448" s="4" t="n"/>
      <c r="L448" s="2" t="n"/>
      <c r="N448" s="2" t="n"/>
    </row>
    <row r="449">
      <c r="D449" s="2" t="n"/>
      <c r="E449" s="3" t="n"/>
      <c r="F449" s="3" t="n"/>
      <c r="G449" s="3" t="n"/>
      <c r="H449" s="4" t="n"/>
      <c r="L449" s="2" t="n"/>
      <c r="N449" s="2" t="n"/>
    </row>
    <row r="450">
      <c r="D450" s="2" t="n"/>
      <c r="E450" s="3" t="n"/>
      <c r="F450" s="3" t="n"/>
      <c r="G450" s="3" t="n"/>
      <c r="H450" s="4" t="n"/>
      <c r="L450" s="2" t="n"/>
      <c r="N450" s="2" t="n"/>
    </row>
    <row r="451">
      <c r="D451" s="2" t="n"/>
      <c r="E451" s="3" t="n"/>
      <c r="F451" s="3" t="n"/>
      <c r="G451" s="3" t="n"/>
      <c r="H451" s="4" t="n"/>
      <c r="L451" s="2" t="n"/>
      <c r="N451" s="2" t="n"/>
    </row>
    <row r="452">
      <c r="D452" s="2" t="n"/>
      <c r="E452" s="3" t="n"/>
      <c r="F452" s="3" t="n"/>
      <c r="G452" s="3" t="n"/>
      <c r="H452" s="4" t="n"/>
      <c r="L452" s="2" t="n"/>
      <c r="N452" s="2" t="n"/>
    </row>
    <row r="453">
      <c r="D453" s="2" t="n"/>
      <c r="E453" s="3" t="n"/>
      <c r="F453" s="3" t="n"/>
      <c r="G453" s="3" t="n"/>
      <c r="H453" s="4" t="n"/>
      <c r="L453" s="2" t="n"/>
      <c r="N453" s="2" t="n"/>
    </row>
    <row r="454">
      <c r="D454" s="2" t="n"/>
      <c r="E454" s="3" t="n"/>
      <c r="F454" s="3" t="n"/>
      <c r="G454" s="3" t="n"/>
      <c r="H454" s="4" t="n"/>
      <c r="L454" s="2" t="n"/>
      <c r="N454" s="2" t="n"/>
    </row>
    <row r="455">
      <c r="D455" s="2" t="n"/>
      <c r="E455" s="3" t="n"/>
      <c r="F455" s="3" t="n"/>
      <c r="G455" s="3" t="n"/>
      <c r="H455" s="4" t="n"/>
      <c r="L455" s="2" t="n"/>
      <c r="N455" s="2" t="n"/>
    </row>
    <row r="456">
      <c r="D456" s="2" t="n"/>
      <c r="E456" s="3" t="n"/>
      <c r="F456" s="3" t="n"/>
      <c r="G456" s="3" t="n"/>
      <c r="H456" s="4" t="n"/>
      <c r="L456" s="2" t="n"/>
      <c r="N456" s="2" t="n"/>
    </row>
    <row r="457">
      <c r="D457" s="2" t="n"/>
      <c r="E457" s="3" t="n"/>
      <c r="F457" s="3" t="n"/>
      <c r="G457" s="3" t="n"/>
      <c r="H457" s="4" t="n"/>
      <c r="L457" s="2" t="n"/>
      <c r="N457" s="2" t="n"/>
    </row>
    <row r="458">
      <c r="D458" s="2" t="n"/>
      <c r="E458" s="3" t="n"/>
      <c r="F458" s="3" t="n"/>
      <c r="G458" s="3" t="n"/>
      <c r="H458" s="4" t="n"/>
      <c r="L458" s="2" t="n"/>
      <c r="N458" s="2" t="n"/>
    </row>
    <row r="459">
      <c r="D459" s="2" t="n"/>
      <c r="E459" s="3" t="n"/>
      <c r="F459" s="3" t="n"/>
      <c r="G459" s="3" t="n"/>
      <c r="H459" s="4" t="n"/>
      <c r="L459" s="2" t="n"/>
      <c r="N459" s="2" t="n"/>
    </row>
    <row r="460">
      <c r="D460" s="2" t="n"/>
      <c r="E460" s="3" t="n"/>
      <c r="F460" s="3" t="n"/>
      <c r="G460" s="3" t="n"/>
      <c r="H460" s="4" t="n"/>
      <c r="L460" s="2" t="n"/>
      <c r="N460" s="2" t="n"/>
    </row>
    <row r="461">
      <c r="D461" s="2" t="n"/>
      <c r="E461" s="3" t="n"/>
      <c r="F461" s="3" t="n"/>
      <c r="G461" s="3" t="n"/>
      <c r="H461" s="4" t="n"/>
      <c r="L461" s="2" t="n"/>
      <c r="N461" s="2" t="n"/>
    </row>
    <row r="462">
      <c r="D462" s="2" t="n"/>
      <c r="E462" s="3" t="n"/>
      <c r="F462" s="3" t="n"/>
      <c r="G462" s="3" t="n"/>
      <c r="H462" s="4" t="n"/>
      <c r="L462" s="2" t="n"/>
      <c r="N462" s="2" t="n"/>
    </row>
    <row r="463">
      <c r="D463" s="2" t="n"/>
      <c r="E463" s="3" t="n"/>
      <c r="F463" s="3" t="n"/>
      <c r="G463" s="3" t="n"/>
      <c r="H463" s="4" t="n"/>
      <c r="L463" s="2" t="n"/>
      <c r="N463" s="2" t="n"/>
    </row>
    <row r="464">
      <c r="D464" s="2" t="n"/>
      <c r="E464" s="3" t="n"/>
      <c r="F464" s="3" t="n"/>
      <c r="G464" s="3" t="n"/>
      <c r="H464" s="4" t="n"/>
      <c r="L464" s="2" t="n"/>
      <c r="N464" s="2" t="n"/>
    </row>
    <row r="465">
      <c r="D465" s="2" t="n"/>
      <c r="E465" s="3" t="n"/>
      <c r="F465" s="3" t="n"/>
      <c r="G465" s="3" t="n"/>
      <c r="H465" s="4" t="n"/>
      <c r="L465" s="2" t="n"/>
      <c r="N465" s="2" t="n"/>
    </row>
    <row r="466">
      <c r="D466" s="2" t="n"/>
      <c r="E466" s="3" t="n"/>
      <c r="F466" s="3" t="n"/>
      <c r="G466" s="3" t="n"/>
      <c r="H466" s="4" t="n"/>
      <c r="L466" s="2" t="n"/>
      <c r="N466" s="2" t="n"/>
    </row>
    <row r="467">
      <c r="D467" s="2" t="n"/>
      <c r="E467" s="3" t="n"/>
      <c r="F467" s="3" t="n"/>
      <c r="G467" s="3" t="n"/>
      <c r="H467" s="4" t="n"/>
      <c r="L467" s="2" t="n"/>
      <c r="N467" s="2" t="n"/>
    </row>
    <row r="468">
      <c r="D468" s="2" t="n"/>
      <c r="E468" s="3" t="n"/>
      <c r="F468" s="3" t="n"/>
      <c r="G468" s="3" t="n"/>
      <c r="H468" s="4" t="n"/>
      <c r="L468" s="2" t="n"/>
      <c r="N468" s="2" t="n"/>
    </row>
    <row r="469">
      <c r="D469" s="2" t="n"/>
      <c r="E469" s="3" t="n"/>
      <c r="F469" s="3" t="n"/>
      <c r="G469" s="3" t="n"/>
      <c r="H469" s="4" t="n"/>
      <c r="L469" s="2" t="n"/>
      <c r="N469" s="2" t="n"/>
    </row>
    <row r="470">
      <c r="D470" s="2" t="n"/>
      <c r="E470" s="3" t="n"/>
      <c r="F470" s="3" t="n"/>
      <c r="G470" s="3" t="n"/>
      <c r="H470" s="4" t="n"/>
      <c r="L470" s="2" t="n"/>
      <c r="N470" s="2" t="n"/>
    </row>
    <row r="471">
      <c r="D471" s="2" t="n"/>
      <c r="E471" s="3" t="n"/>
      <c r="F471" s="3" t="n"/>
      <c r="G471" s="3" t="n"/>
      <c r="H471" s="4" t="n"/>
      <c r="L471" s="2" t="n"/>
      <c r="N471" s="2" t="n"/>
    </row>
    <row r="472">
      <c r="D472" s="2" t="n"/>
      <c r="E472" s="3" t="n"/>
      <c r="F472" s="3" t="n"/>
      <c r="G472" s="3" t="n"/>
      <c r="H472" s="4" t="n"/>
      <c r="L472" s="2" t="n"/>
      <c r="N472" s="2" t="n"/>
    </row>
    <row r="473">
      <c r="D473" s="2" t="n"/>
      <c r="E473" s="3" t="n"/>
      <c r="F473" s="3" t="n"/>
      <c r="G473" s="3" t="n"/>
      <c r="H473" s="4" t="n"/>
      <c r="L473" s="2" t="n"/>
      <c r="N473" s="2" t="n"/>
    </row>
    <row r="474">
      <c r="D474" s="2" t="n"/>
      <c r="E474" s="3" t="n"/>
      <c r="F474" s="3" t="n"/>
      <c r="G474" s="3" t="n"/>
      <c r="H474" s="4" t="n"/>
      <c r="L474" s="2" t="n"/>
      <c r="N474" s="2" t="n"/>
    </row>
    <row r="475">
      <c r="D475" s="2" t="n"/>
      <c r="E475" s="3" t="n"/>
      <c r="F475" s="3" t="n"/>
      <c r="G475" s="3" t="n"/>
      <c r="H475" s="4" t="n"/>
      <c r="L475" s="2" t="n"/>
      <c r="N475" s="2" t="n"/>
    </row>
    <row r="476">
      <c r="D476" s="2" t="n"/>
      <c r="E476" s="3" t="n"/>
      <c r="F476" s="3" t="n"/>
      <c r="G476" s="3" t="n"/>
      <c r="H476" s="4" t="n"/>
      <c r="L476" s="2" t="n"/>
      <c r="N476" s="2" t="n"/>
    </row>
    <row r="477">
      <c r="D477" s="2" t="n"/>
      <c r="E477" s="3" t="n"/>
      <c r="F477" s="3" t="n"/>
      <c r="G477" s="3" t="n"/>
      <c r="H477" s="4" t="n"/>
      <c r="L477" s="2" t="n"/>
      <c r="N477" s="2" t="n"/>
    </row>
    <row r="478">
      <c r="D478" s="2" t="n"/>
      <c r="E478" s="3" t="n"/>
      <c r="F478" s="3" t="n"/>
      <c r="G478" s="3" t="n"/>
      <c r="H478" s="4" t="n"/>
      <c r="L478" s="2" t="n"/>
      <c r="N478" s="2" t="n"/>
    </row>
    <row r="479">
      <c r="D479" s="2" t="n"/>
      <c r="E479" s="3" t="n"/>
      <c r="F479" s="3" t="n"/>
      <c r="G479" s="3" t="n"/>
      <c r="H479" s="4" t="n"/>
      <c r="L479" s="2" t="n"/>
      <c r="N479" s="2" t="n"/>
    </row>
    <row r="480">
      <c r="D480" s="2" t="n"/>
      <c r="E480" s="3" t="n"/>
      <c r="F480" s="3" t="n"/>
      <c r="G480" s="3" t="n"/>
      <c r="H480" s="4" t="n"/>
      <c r="L480" s="2" t="n"/>
      <c r="N480" s="2" t="n"/>
    </row>
    <row r="481">
      <c r="D481" s="2" t="n"/>
      <c r="E481" s="3" t="n"/>
      <c r="F481" s="3" t="n"/>
      <c r="G481" s="3" t="n"/>
      <c r="H481" s="4" t="n"/>
      <c r="L481" s="2" t="n"/>
      <c r="N481" s="2" t="n"/>
    </row>
    <row r="482">
      <c r="D482" s="2" t="n"/>
      <c r="E482" s="3" t="n"/>
      <c r="F482" s="3" t="n"/>
      <c r="G482" s="3" t="n"/>
      <c r="H482" s="4" t="n"/>
      <c r="L482" s="2" t="n"/>
      <c r="N482" s="2" t="n"/>
    </row>
    <row r="483">
      <c r="D483" s="2" t="n"/>
      <c r="E483" s="3" t="n"/>
      <c r="F483" s="3" t="n"/>
      <c r="G483" s="3" t="n"/>
      <c r="H483" s="4" t="n"/>
      <c r="L483" s="2" t="n"/>
      <c r="N483" s="2" t="n"/>
    </row>
    <row r="484">
      <c r="D484" s="2" t="n"/>
      <c r="E484" s="3" t="n"/>
      <c r="F484" s="3" t="n"/>
      <c r="G484" s="3" t="n"/>
      <c r="H484" s="4" t="n"/>
      <c r="L484" s="2" t="n"/>
      <c r="N484" s="2" t="n"/>
    </row>
    <row r="485">
      <c r="D485" s="2" t="n"/>
      <c r="E485" s="3" t="n"/>
      <c r="F485" s="3" t="n"/>
      <c r="G485" s="3" t="n"/>
      <c r="H485" s="4" t="n"/>
      <c r="L485" s="2" t="n"/>
      <c r="N485" s="2" t="n"/>
    </row>
    <row r="486">
      <c r="D486" s="2" t="n"/>
      <c r="E486" s="3" t="n"/>
      <c r="F486" s="3" t="n"/>
      <c r="G486" s="3" t="n"/>
      <c r="H486" s="4" t="n"/>
      <c r="L486" s="2" t="n"/>
      <c r="N486" s="2" t="n"/>
    </row>
    <row r="487">
      <c r="D487" s="2" t="n"/>
      <c r="E487" s="3" t="n"/>
      <c r="F487" s="3" t="n"/>
      <c r="G487" s="3" t="n"/>
      <c r="H487" s="4" t="n"/>
      <c r="L487" s="2" t="n"/>
      <c r="N487" s="2" t="n"/>
    </row>
    <row r="488">
      <c r="D488" s="2" t="n"/>
      <c r="E488" s="3" t="n"/>
      <c r="F488" s="3" t="n"/>
      <c r="G488" s="3" t="n"/>
      <c r="H488" s="4" t="n"/>
      <c r="L488" s="2" t="n"/>
      <c r="N488" s="2" t="n"/>
    </row>
    <row r="489">
      <c r="D489" s="2" t="n"/>
      <c r="E489" s="3" t="n"/>
      <c r="F489" s="3" t="n"/>
      <c r="G489" s="3" t="n"/>
      <c r="H489" s="4" t="n"/>
      <c r="L489" s="2" t="n"/>
      <c r="N489" s="2" t="n"/>
    </row>
    <row r="490">
      <c r="D490" s="2" t="n"/>
      <c r="E490" s="3" t="n"/>
      <c r="F490" s="3" t="n"/>
      <c r="G490" s="3" t="n"/>
      <c r="H490" s="4" t="n"/>
      <c r="L490" s="2" t="n"/>
      <c r="N490" s="2" t="n"/>
    </row>
    <row r="491">
      <c r="D491" s="2" t="n"/>
      <c r="E491" s="3" t="n"/>
      <c r="F491" s="3" t="n"/>
      <c r="G491" s="3" t="n"/>
      <c r="H491" s="4" t="n"/>
      <c r="L491" s="2" t="n"/>
      <c r="N491" s="2" t="n"/>
    </row>
    <row r="492">
      <c r="D492" s="2" t="n"/>
      <c r="E492" s="3" t="n"/>
      <c r="F492" s="3" t="n"/>
      <c r="G492" s="3" t="n"/>
      <c r="H492" s="4" t="n"/>
      <c r="L492" s="2" t="n"/>
      <c r="N492" s="2" t="n"/>
    </row>
    <row r="493">
      <c r="D493" s="2" t="n"/>
      <c r="E493" s="3" t="n"/>
      <c r="F493" s="3" t="n"/>
      <c r="G493" s="3" t="n"/>
      <c r="H493" s="4" t="n"/>
      <c r="L493" s="2" t="n"/>
      <c r="N493" s="2" t="n"/>
    </row>
    <row r="494">
      <c r="D494" s="2" t="n"/>
      <c r="E494" s="3" t="n"/>
      <c r="F494" s="3" t="n"/>
      <c r="G494" s="3" t="n"/>
      <c r="H494" s="4" t="n"/>
      <c r="L494" s="2" t="n"/>
      <c r="N494" s="2" t="n"/>
    </row>
    <row r="495">
      <c r="D495" s="2" t="n"/>
      <c r="E495" s="3" t="n"/>
      <c r="F495" s="3" t="n"/>
      <c r="G495" s="3" t="n"/>
      <c r="H495" s="4" t="n"/>
      <c r="L495" s="2" t="n"/>
      <c r="N495" s="2" t="n"/>
    </row>
    <row r="496">
      <c r="D496" s="2" t="n"/>
      <c r="E496" s="3" t="n"/>
      <c r="F496" s="3" t="n"/>
      <c r="G496" s="3" t="n"/>
      <c r="H496" s="4" t="n"/>
      <c r="L496" s="2" t="n"/>
      <c r="N496" s="2" t="n"/>
    </row>
    <row r="497">
      <c r="D497" s="2" t="n"/>
      <c r="E497" s="3" t="n"/>
      <c r="F497" s="3" t="n"/>
      <c r="G497" s="3" t="n"/>
      <c r="H497" s="4" t="n"/>
      <c r="L497" s="2" t="n"/>
      <c r="N497" s="2" t="n"/>
    </row>
    <row r="498">
      <c r="D498" s="2" t="n"/>
      <c r="E498" s="3" t="n"/>
      <c r="F498" s="3" t="n"/>
      <c r="G498" s="3" t="n"/>
      <c r="H498" s="4" t="n"/>
      <c r="L498" s="2" t="n"/>
      <c r="N498" s="2" t="n"/>
    </row>
    <row r="499">
      <c r="D499" s="2" t="n"/>
      <c r="E499" s="3" t="n"/>
      <c r="F499" s="3" t="n"/>
      <c r="G499" s="3" t="n"/>
      <c r="H499" s="4" t="n"/>
      <c r="L499" s="2" t="n"/>
      <c r="N499" s="2" t="n"/>
    </row>
    <row r="500">
      <c r="D500" s="2" t="n"/>
      <c r="E500" s="3" t="n"/>
      <c r="F500" s="3" t="n"/>
      <c r="G500" s="3" t="n"/>
      <c r="H500" s="4" t="n"/>
      <c r="L500" s="2" t="n"/>
      <c r="N500" s="2" t="n"/>
    </row>
    <row r="501">
      <c r="D501" s="2" t="n"/>
      <c r="E501" s="3" t="n"/>
      <c r="F501" s="3" t="n"/>
      <c r="G501" s="3" t="n"/>
      <c r="H501" s="4" t="n"/>
      <c r="L501" s="2" t="n"/>
      <c r="N501" s="2" t="n"/>
    </row>
    <row r="502">
      <c r="D502" s="2" t="n"/>
      <c r="E502" s="3" t="n"/>
      <c r="F502" s="3" t="n"/>
      <c r="G502" s="3" t="n"/>
      <c r="H502" s="4" t="n"/>
      <c r="L502" s="2" t="n"/>
      <c r="N502" s="2" t="n"/>
    </row>
    <row r="503">
      <c r="D503" s="2" t="n"/>
      <c r="E503" s="3" t="n"/>
      <c r="F503" s="3" t="n"/>
      <c r="G503" s="3" t="n"/>
      <c r="H503" s="4" t="n"/>
      <c r="L503" s="2" t="n"/>
      <c r="N503" s="2" t="n"/>
    </row>
    <row r="504">
      <c r="D504" s="2" t="n"/>
      <c r="E504" s="3" t="n"/>
      <c r="F504" s="3" t="n"/>
      <c r="G504" s="3" t="n"/>
      <c r="H504" s="4" t="n"/>
      <c r="L504" s="2" t="n"/>
      <c r="N504" s="2" t="n"/>
    </row>
    <row r="505">
      <c r="D505" s="2" t="n"/>
      <c r="E505" s="3" t="n"/>
      <c r="F505" s="3" t="n"/>
      <c r="G505" s="3" t="n"/>
      <c r="H505" s="4" t="n"/>
      <c r="L505" s="2" t="n"/>
      <c r="N505" s="2" t="n"/>
    </row>
    <row r="506">
      <c r="D506" s="2" t="n"/>
      <c r="E506" s="3" t="n"/>
      <c r="F506" s="3" t="n"/>
      <c r="G506" s="3" t="n"/>
      <c r="H506" s="4" t="n"/>
      <c r="L506" s="2" t="n"/>
      <c r="N506" s="2" t="n"/>
    </row>
    <row r="507">
      <c r="D507" s="2" t="n"/>
      <c r="E507" s="3" t="n"/>
      <c r="F507" s="3" t="n"/>
      <c r="G507" s="3" t="n"/>
      <c r="H507" s="4" t="n"/>
      <c r="L507" s="2" t="n"/>
      <c r="N507" s="2" t="n"/>
    </row>
    <row r="508">
      <c r="D508" s="2" t="n"/>
      <c r="E508" s="3" t="n"/>
      <c r="F508" s="3" t="n"/>
      <c r="G508" s="3" t="n"/>
      <c r="H508" s="4" t="n"/>
      <c r="L508" s="2" t="n"/>
      <c r="N508" s="2" t="n"/>
    </row>
    <row r="509">
      <c r="D509" s="2" t="n"/>
      <c r="E509" s="3" t="n"/>
      <c r="F509" s="3" t="n"/>
      <c r="G509" s="3" t="n"/>
      <c r="H509" s="4" t="n"/>
      <c r="L509" s="2" t="n"/>
      <c r="N509" s="2" t="n"/>
    </row>
    <row r="510">
      <c r="D510" s="2" t="n"/>
      <c r="E510" s="3" t="n"/>
      <c r="F510" s="3" t="n"/>
      <c r="G510" s="3" t="n"/>
      <c r="H510" s="4" t="n"/>
      <c r="L510" s="2" t="n"/>
      <c r="N510" s="2" t="n"/>
    </row>
    <row r="511">
      <c r="D511" s="2" t="n"/>
      <c r="E511" s="3" t="n"/>
      <c r="F511" s="3" t="n"/>
      <c r="G511" s="3" t="n"/>
      <c r="H511" s="4" t="n"/>
      <c r="L511" s="2" t="n"/>
      <c r="N511" s="2" t="n"/>
    </row>
    <row r="512">
      <c r="D512" s="2" t="n"/>
      <c r="E512" s="3" t="n"/>
      <c r="F512" s="3" t="n"/>
      <c r="G512" s="3" t="n"/>
      <c r="H512" s="4" t="n"/>
      <c r="L512" s="2" t="n"/>
      <c r="N512" s="2" t="n"/>
    </row>
    <row r="513">
      <c r="D513" s="2" t="n"/>
      <c r="E513" s="3" t="n"/>
      <c r="F513" s="3" t="n"/>
      <c r="G513" s="3" t="n"/>
      <c r="H513" s="4" t="n"/>
      <c r="L513" s="2" t="n"/>
      <c r="N513" s="2" t="n"/>
    </row>
    <row r="514">
      <c r="D514" s="2" t="n"/>
      <c r="E514" s="3" t="n"/>
      <c r="F514" s="3" t="n"/>
      <c r="G514" s="3" t="n"/>
      <c r="H514" s="4" t="n"/>
      <c r="L514" s="2" t="n"/>
      <c r="N514" s="2" t="n"/>
    </row>
    <row r="515">
      <c r="D515" s="2" t="n"/>
      <c r="E515" s="3" t="n"/>
      <c r="F515" s="3" t="n"/>
      <c r="G515" s="3" t="n"/>
      <c r="H515" s="4" t="n"/>
      <c r="L515" s="2" t="n"/>
      <c r="N515" s="2" t="n"/>
    </row>
    <row r="516">
      <c r="D516" s="2" t="n"/>
      <c r="E516" s="3" t="n"/>
      <c r="F516" s="3" t="n"/>
      <c r="G516" s="3" t="n"/>
      <c r="H516" s="4" t="n"/>
      <c r="L516" s="2" t="n"/>
      <c r="N516" s="2" t="n"/>
    </row>
    <row r="517">
      <c r="D517" s="2" t="n"/>
      <c r="E517" s="3" t="n"/>
      <c r="F517" s="3" t="n"/>
      <c r="G517" s="3" t="n"/>
      <c r="H517" s="4" t="n"/>
      <c r="L517" s="2" t="n"/>
      <c r="N517" s="2" t="n"/>
    </row>
    <row r="518">
      <c r="D518" s="2" t="n"/>
      <c r="E518" s="3" t="n"/>
      <c r="F518" s="3" t="n"/>
      <c r="G518" s="3" t="n"/>
      <c r="H518" s="4" t="n"/>
      <c r="L518" s="2" t="n"/>
      <c r="N518" s="2" t="n"/>
    </row>
    <row r="519">
      <c r="D519" s="2" t="n"/>
      <c r="E519" s="3" t="n"/>
      <c r="F519" s="3" t="n"/>
      <c r="G519" s="3" t="n"/>
      <c r="H519" s="4" t="n"/>
      <c r="L519" s="2" t="n"/>
      <c r="N519" s="2" t="n"/>
    </row>
    <row r="520">
      <c r="D520" s="2" t="n"/>
      <c r="E520" s="3" t="n"/>
      <c r="F520" s="3" t="n"/>
      <c r="G520" s="3" t="n"/>
      <c r="H520" s="4" t="n"/>
      <c r="L520" s="2" t="n"/>
      <c r="N520" s="2" t="n"/>
    </row>
    <row r="521">
      <c r="D521" s="2" t="n"/>
      <c r="E521" s="3" t="n"/>
      <c r="F521" s="3" t="n"/>
      <c r="G521" s="3" t="n"/>
      <c r="H521" s="4" t="n"/>
      <c r="L521" s="2" t="n"/>
      <c r="N521" s="2" t="n"/>
    </row>
    <row r="522">
      <c r="D522" s="2" t="n"/>
      <c r="E522" s="3" t="n"/>
      <c r="F522" s="3" t="n"/>
      <c r="G522" s="3" t="n"/>
      <c r="H522" s="4" t="n"/>
      <c r="L522" s="2" t="n"/>
      <c r="N522" s="2" t="n"/>
    </row>
    <row r="523">
      <c r="D523" s="2" t="n"/>
      <c r="E523" s="3" t="n"/>
      <c r="F523" s="3" t="n"/>
      <c r="G523" s="3" t="n"/>
      <c r="H523" s="4" t="n"/>
      <c r="L523" s="2" t="n"/>
      <c r="N523" s="2" t="n"/>
    </row>
    <row r="524">
      <c r="D524" s="2" t="n"/>
      <c r="E524" s="3" t="n"/>
      <c r="F524" s="3" t="n"/>
      <c r="G524" s="3" t="n"/>
      <c r="H524" s="4" t="n"/>
      <c r="L524" s="2" t="n"/>
      <c r="N524" s="2" t="n"/>
    </row>
    <row r="525">
      <c r="D525" s="2" t="n"/>
      <c r="E525" s="3" t="n"/>
      <c r="F525" s="3" t="n"/>
      <c r="G525" s="3" t="n"/>
      <c r="H525" s="4" t="n"/>
      <c r="L525" s="2" t="n"/>
      <c r="N525" s="2" t="n"/>
    </row>
    <row r="526">
      <c r="D526" s="2" t="n"/>
      <c r="E526" s="3" t="n"/>
      <c r="F526" s="3" t="n"/>
      <c r="G526" s="3" t="n"/>
      <c r="H526" s="4" t="n"/>
      <c r="L526" s="2" t="n"/>
      <c r="N526" s="2" t="n"/>
    </row>
    <row r="527">
      <c r="D527" s="2" t="n"/>
      <c r="E527" s="3" t="n"/>
      <c r="F527" s="3" t="n"/>
      <c r="G527" s="3" t="n"/>
      <c r="H527" s="4" t="n"/>
      <c r="L527" s="2" t="n"/>
      <c r="N527" s="2" t="n"/>
    </row>
    <row r="528">
      <c r="D528" s="2" t="n"/>
      <c r="E528" s="3" t="n"/>
      <c r="F528" s="3" t="n"/>
      <c r="G528" s="3" t="n"/>
      <c r="H528" s="4" t="n"/>
      <c r="L528" s="2" t="n"/>
      <c r="N528" s="2" t="n"/>
    </row>
    <row r="529">
      <c r="D529" s="2" t="n"/>
      <c r="E529" s="3" t="n"/>
      <c r="F529" s="3" t="n"/>
      <c r="G529" s="3" t="n"/>
      <c r="H529" s="4" t="n"/>
      <c r="L529" s="2" t="n"/>
      <c r="N529" s="2" t="n"/>
    </row>
    <row r="530">
      <c r="D530" s="2" t="n"/>
      <c r="E530" s="3" t="n"/>
      <c r="F530" s="3" t="n"/>
      <c r="G530" s="3" t="n"/>
      <c r="H530" s="4" t="n"/>
      <c r="L530" s="2" t="n"/>
      <c r="N530" s="2" t="n"/>
    </row>
    <row r="531">
      <c r="D531" s="2" t="n"/>
      <c r="E531" s="3" t="n"/>
      <c r="F531" s="3" t="n"/>
      <c r="G531" s="3" t="n"/>
      <c r="H531" s="4" t="n"/>
      <c r="L531" s="2" t="n"/>
      <c r="N531" s="2" t="n"/>
    </row>
    <row r="532">
      <c r="D532" s="2" t="n"/>
      <c r="E532" s="3" t="n"/>
      <c r="F532" s="3" t="n"/>
      <c r="G532" s="3" t="n"/>
      <c r="H532" s="4" t="n"/>
      <c r="L532" s="2" t="n"/>
      <c r="N532" s="2" t="n"/>
    </row>
    <row r="533">
      <c r="D533" s="2" t="n"/>
      <c r="E533" s="3" t="n"/>
      <c r="F533" s="3" t="n"/>
      <c r="G533" s="3" t="n"/>
      <c r="H533" s="4" t="n"/>
      <c r="L533" s="2" t="n"/>
      <c r="N533" s="2" t="n"/>
    </row>
    <row r="534">
      <c r="D534" s="2" t="n"/>
      <c r="E534" s="3" t="n"/>
      <c r="F534" s="3" t="n"/>
      <c r="G534" s="3" t="n"/>
      <c r="H534" s="4" t="n"/>
      <c r="L534" s="2" t="n"/>
      <c r="N534" s="2" t="n"/>
    </row>
    <row r="535">
      <c r="D535" s="2" t="n"/>
      <c r="E535" s="3" t="n"/>
      <c r="F535" s="3" t="n"/>
      <c r="G535" s="3" t="n"/>
      <c r="H535" s="4" t="n"/>
      <c r="L535" s="2" t="n"/>
      <c r="N535" s="2" t="n"/>
    </row>
    <row r="536">
      <c r="D536" s="2" t="n"/>
      <c r="E536" s="3" t="n"/>
      <c r="F536" s="3" t="n"/>
      <c r="G536" s="3" t="n"/>
      <c r="H536" s="4" t="n"/>
      <c r="L536" s="2" t="n"/>
      <c r="N536" s="2" t="n"/>
    </row>
    <row r="537">
      <c r="D537" s="2" t="n"/>
      <c r="E537" s="3" t="n"/>
      <c r="F537" s="3" t="n"/>
      <c r="G537" s="3" t="n"/>
      <c r="H537" s="4" t="n"/>
      <c r="L537" s="2" t="n"/>
      <c r="N537" s="2" t="n"/>
    </row>
    <row r="538">
      <c r="D538" s="2" t="n"/>
      <c r="E538" s="3" t="n"/>
      <c r="F538" s="3" t="n"/>
      <c r="G538" s="3" t="n"/>
      <c r="H538" s="4" t="n"/>
      <c r="L538" s="2" t="n"/>
      <c r="N538" s="2" t="n"/>
    </row>
    <row r="539">
      <c r="D539" s="2" t="n"/>
      <c r="E539" s="3" t="n"/>
      <c r="F539" s="3" t="n"/>
      <c r="G539" s="3" t="n"/>
      <c r="H539" s="4" t="n"/>
      <c r="L539" s="2" t="n"/>
      <c r="N539" s="2" t="n"/>
    </row>
    <row r="540">
      <c r="D540" s="2" t="n"/>
      <c r="E540" s="3" t="n"/>
      <c r="F540" s="3" t="n"/>
      <c r="G540" s="3" t="n"/>
      <c r="H540" s="4" t="n"/>
      <c r="L540" s="2" t="n"/>
      <c r="N540" s="2" t="n"/>
    </row>
    <row r="541">
      <c r="D541" s="2" t="n"/>
      <c r="E541" s="3" t="n"/>
      <c r="F541" s="3" t="n"/>
      <c r="G541" s="3" t="n"/>
      <c r="H541" s="4" t="n"/>
      <c r="L541" s="2" t="n"/>
      <c r="N541" s="2" t="n"/>
    </row>
    <row r="542">
      <c r="D542" s="2" t="n"/>
      <c r="E542" s="3" t="n"/>
      <c r="F542" s="3" t="n"/>
      <c r="G542" s="3" t="n"/>
      <c r="H542" s="4" t="n"/>
      <c r="L542" s="2" t="n"/>
      <c r="N542" s="2" t="n"/>
    </row>
    <row r="543">
      <c r="D543" s="2" t="n"/>
      <c r="E543" s="3" t="n"/>
      <c r="F543" s="3" t="n"/>
      <c r="G543" s="3" t="n"/>
      <c r="H543" s="4" t="n"/>
      <c r="L543" s="2" t="n"/>
      <c r="N543" s="2" t="n"/>
    </row>
    <row r="544">
      <c r="D544" s="2" t="n"/>
      <c r="E544" s="3" t="n"/>
      <c r="F544" s="3" t="n"/>
      <c r="G544" s="3" t="n"/>
      <c r="H544" s="4" t="n"/>
      <c r="L544" s="2" t="n"/>
      <c r="N544" s="2" t="n"/>
    </row>
    <row r="545">
      <c r="D545" s="2" t="n"/>
      <c r="E545" s="3" t="n"/>
      <c r="F545" s="3" t="n"/>
      <c r="G545" s="3" t="n"/>
      <c r="H545" s="4" t="n"/>
      <c r="L545" s="2" t="n"/>
      <c r="N545" s="2" t="n"/>
    </row>
    <row r="546">
      <c r="D546" s="2" t="n"/>
      <c r="E546" s="3" t="n"/>
      <c r="F546" s="3" t="n"/>
      <c r="G546" s="3" t="n"/>
      <c r="H546" s="4" t="n"/>
      <c r="L546" s="2" t="n"/>
      <c r="N546" s="2" t="n"/>
    </row>
    <row r="547">
      <c r="D547" s="2" t="n"/>
      <c r="E547" s="3" t="n"/>
      <c r="F547" s="3" t="n"/>
      <c r="G547" s="3" t="n"/>
      <c r="H547" s="4" t="n"/>
      <c r="L547" s="2" t="n"/>
      <c r="N547" s="2" t="n"/>
    </row>
    <row r="548">
      <c r="D548" s="2" t="n"/>
      <c r="E548" s="3" t="n"/>
      <c r="F548" s="3" t="n"/>
      <c r="G548" s="3" t="n"/>
      <c r="H548" s="4" t="n"/>
      <c r="L548" s="2" t="n"/>
      <c r="N548" s="2" t="n"/>
    </row>
    <row r="549">
      <c r="D549" s="2" t="n"/>
      <c r="E549" s="3" t="n"/>
      <c r="F549" s="3" t="n"/>
      <c r="G549" s="3" t="n"/>
      <c r="H549" s="4" t="n"/>
      <c r="L549" s="2" t="n"/>
      <c r="N549" s="2" t="n"/>
    </row>
    <row r="550">
      <c r="D550" s="2" t="n"/>
      <c r="E550" s="3" t="n"/>
      <c r="F550" s="3" t="n"/>
      <c r="G550" s="3" t="n"/>
      <c r="H550" s="4" t="n"/>
      <c r="L550" s="2" t="n"/>
      <c r="N550" s="2" t="n"/>
    </row>
    <row r="551">
      <c r="D551" s="2" t="n"/>
      <c r="E551" s="3" t="n"/>
      <c r="F551" s="3" t="n"/>
      <c r="G551" s="3" t="n"/>
      <c r="H551" s="4" t="n"/>
      <c r="L551" s="2" t="n"/>
      <c r="N551" s="2" t="n"/>
    </row>
    <row r="552">
      <c r="D552" s="2" t="n"/>
      <c r="E552" s="3" t="n"/>
      <c r="F552" s="3" t="n"/>
      <c r="G552" s="3" t="n"/>
      <c r="H552" s="4" t="n"/>
      <c r="L552" s="2" t="n"/>
      <c r="N552" s="2" t="n"/>
    </row>
    <row r="553">
      <c r="D553" s="2" t="n"/>
      <c r="E553" s="3" t="n"/>
      <c r="F553" s="3" t="n"/>
      <c r="G553" s="3" t="n"/>
      <c r="H553" s="4" t="n"/>
      <c r="L553" s="2" t="n"/>
      <c r="N553" s="2" t="n"/>
    </row>
    <row r="554">
      <c r="D554" s="2" t="n"/>
      <c r="E554" s="3" t="n"/>
      <c r="F554" s="3" t="n"/>
      <c r="G554" s="3" t="n"/>
      <c r="H554" s="4" t="n"/>
      <c r="L554" s="2" t="n"/>
      <c r="N554" s="2" t="n"/>
    </row>
    <row r="555">
      <c r="D555" s="2" t="n"/>
      <c r="E555" s="3" t="n"/>
      <c r="F555" s="3" t="n"/>
      <c r="G555" s="3" t="n"/>
      <c r="H555" s="4" t="n"/>
      <c r="L555" s="2" t="n"/>
      <c r="N555" s="2" t="n"/>
    </row>
    <row r="556">
      <c r="D556" s="2" t="n"/>
      <c r="E556" s="3" t="n"/>
      <c r="F556" s="3" t="n"/>
      <c r="G556" s="3" t="n"/>
      <c r="H556" s="4" t="n"/>
      <c r="L556" s="2" t="n"/>
      <c r="N556" s="2" t="n"/>
    </row>
    <row r="557">
      <c r="D557" s="2" t="n"/>
      <c r="E557" s="3" t="n"/>
      <c r="F557" s="3" t="n"/>
      <c r="G557" s="3" t="n"/>
      <c r="H557" s="4" t="n"/>
      <c r="L557" s="2" t="n"/>
      <c r="N557" s="2" t="n"/>
    </row>
    <row r="558">
      <c r="D558" s="2" t="n"/>
      <c r="E558" s="3" t="n"/>
      <c r="F558" s="3" t="n"/>
      <c r="G558" s="3" t="n"/>
      <c r="H558" s="4" t="n"/>
      <c r="L558" s="2" t="n"/>
      <c r="N558" s="2" t="n"/>
    </row>
    <row r="559">
      <c r="D559" s="2" t="n"/>
      <c r="E559" s="3" t="n"/>
      <c r="F559" s="3" t="n"/>
      <c r="G559" s="3" t="n"/>
      <c r="H559" s="4" t="n"/>
      <c r="L559" s="2" t="n"/>
      <c r="N559" s="2" t="n"/>
    </row>
    <row r="560">
      <c r="D560" s="2" t="n"/>
      <c r="E560" s="3" t="n"/>
      <c r="F560" s="3" t="n"/>
      <c r="G560" s="3" t="n"/>
      <c r="H560" s="4" t="n"/>
      <c r="L560" s="2" t="n"/>
      <c r="N560" s="2" t="n"/>
    </row>
    <row r="561">
      <c r="D561" s="2" t="n"/>
      <c r="E561" s="3" t="n"/>
      <c r="F561" s="3" t="n"/>
      <c r="G561" s="3" t="n"/>
      <c r="H561" s="4" t="n"/>
      <c r="L561" s="2" t="n"/>
      <c r="N561" s="2" t="n"/>
    </row>
    <row r="562">
      <c r="D562" s="2" t="n"/>
      <c r="E562" s="3" t="n"/>
      <c r="F562" s="3" t="n"/>
      <c r="G562" s="3" t="n"/>
      <c r="H562" s="4" t="n"/>
      <c r="L562" s="2" t="n"/>
      <c r="N562" s="2" t="n"/>
    </row>
    <row r="563">
      <c r="D563" s="2" t="n"/>
      <c r="E563" s="3" t="n"/>
      <c r="F563" s="3" t="n"/>
      <c r="G563" s="3" t="n"/>
      <c r="H563" s="4" t="n"/>
      <c r="L563" s="2" t="n"/>
      <c r="N563" s="2" t="n"/>
    </row>
    <row r="564">
      <c r="D564" s="2" t="n"/>
      <c r="E564" s="3" t="n"/>
      <c r="F564" s="3" t="n"/>
      <c r="G564" s="3" t="n"/>
      <c r="H564" s="4" t="n"/>
      <c r="L564" s="2" t="n"/>
      <c r="N564" s="2" t="n"/>
    </row>
    <row r="565">
      <c r="D565" s="2" t="n"/>
      <c r="E565" s="3" t="n"/>
      <c r="F565" s="3" t="n"/>
      <c r="G565" s="3" t="n"/>
      <c r="H565" s="4" t="n"/>
      <c r="L565" s="2" t="n"/>
      <c r="N565" s="2" t="n"/>
    </row>
    <row r="566">
      <c r="D566" s="2" t="n"/>
      <c r="E566" s="3" t="n"/>
      <c r="F566" s="3" t="n"/>
      <c r="G566" s="3" t="n"/>
      <c r="H566" s="4" t="n"/>
      <c r="L566" s="2" t="n"/>
      <c r="N566" s="2" t="n"/>
    </row>
    <row r="567">
      <c r="D567" s="2" t="n"/>
      <c r="E567" s="3" t="n"/>
      <c r="F567" s="3" t="n"/>
      <c r="G567" s="3" t="n"/>
      <c r="H567" s="4" t="n"/>
      <c r="L567" s="2" t="n"/>
      <c r="N567" s="2" t="n"/>
    </row>
    <row r="568">
      <c r="D568" s="2" t="n"/>
      <c r="E568" s="3" t="n"/>
      <c r="F568" s="3" t="n"/>
      <c r="G568" s="3" t="n"/>
      <c r="H568" s="4" t="n"/>
      <c r="L568" s="2" t="n"/>
      <c r="N568" s="2" t="n"/>
    </row>
    <row r="569">
      <c r="D569" s="2" t="n"/>
      <c r="E569" s="3" t="n"/>
      <c r="F569" s="3" t="n"/>
      <c r="G569" s="3" t="n"/>
      <c r="H569" s="4" t="n"/>
      <c r="L569" s="2" t="n"/>
      <c r="N569" s="2" t="n"/>
    </row>
    <row r="570">
      <c r="D570" s="2" t="n"/>
      <c r="E570" s="3" t="n"/>
      <c r="F570" s="3" t="n"/>
      <c r="G570" s="3" t="n"/>
      <c r="H570" s="4" t="n"/>
      <c r="L570" s="2" t="n"/>
      <c r="N570" s="2" t="n"/>
    </row>
    <row r="571">
      <c r="D571" s="2" t="n"/>
      <c r="E571" s="3" t="n"/>
      <c r="F571" s="3" t="n"/>
      <c r="G571" s="3" t="n"/>
      <c r="H571" s="4" t="n"/>
      <c r="L571" s="2" t="n"/>
      <c r="N571" s="2" t="n"/>
    </row>
    <row r="572">
      <c r="D572" s="2" t="n"/>
      <c r="E572" s="3" t="n"/>
      <c r="F572" s="3" t="n"/>
      <c r="G572" s="3" t="n"/>
      <c r="H572" s="4" t="n"/>
      <c r="L572" s="2" t="n"/>
      <c r="N572" s="2" t="n"/>
    </row>
    <row r="573">
      <c r="D573" s="2" t="n"/>
      <c r="E573" s="3" t="n"/>
      <c r="F573" s="3" t="n"/>
      <c r="G573" s="3" t="n"/>
      <c r="H573" s="4" t="n"/>
      <c r="L573" s="2" t="n"/>
      <c r="N573" s="2" t="n"/>
    </row>
    <row r="574">
      <c r="D574" s="2" t="n"/>
      <c r="E574" s="3" t="n"/>
      <c r="F574" s="3" t="n"/>
      <c r="G574" s="3" t="n"/>
      <c r="H574" s="4" t="n"/>
      <c r="L574" s="2" t="n"/>
      <c r="N574" s="2" t="n"/>
    </row>
    <row r="575">
      <c r="D575" s="2" t="n"/>
      <c r="E575" s="3" t="n"/>
      <c r="F575" s="3" t="n"/>
      <c r="G575" s="3" t="n"/>
      <c r="H575" s="4" t="n"/>
      <c r="L575" s="2" t="n"/>
      <c r="N575" s="2" t="n"/>
    </row>
    <row r="576">
      <c r="D576" s="2" t="n"/>
      <c r="E576" s="3" t="n"/>
      <c r="F576" s="3" t="n"/>
      <c r="G576" s="3" t="n"/>
      <c r="H576" s="4" t="n"/>
      <c r="L576" s="2" t="n"/>
      <c r="N576" s="2" t="n"/>
    </row>
    <row r="577">
      <c r="D577" s="2" t="n"/>
      <c r="E577" s="3" t="n"/>
      <c r="F577" s="3" t="n"/>
      <c r="G577" s="3" t="n"/>
      <c r="H577" s="4" t="n"/>
      <c r="L577" s="2" t="n"/>
      <c r="N577" s="2" t="n"/>
    </row>
    <row r="578">
      <c r="D578" s="2" t="n"/>
      <c r="E578" s="3" t="n"/>
      <c r="F578" s="3" t="n"/>
      <c r="G578" s="3" t="n"/>
      <c r="H578" s="4" t="n"/>
      <c r="L578" s="2" t="n"/>
      <c r="N578" s="2" t="n"/>
    </row>
    <row r="579">
      <c r="D579" s="2" t="n"/>
      <c r="E579" s="3" t="n"/>
      <c r="F579" s="3" t="n"/>
      <c r="G579" s="3" t="n"/>
      <c r="H579" s="4" t="n"/>
      <c r="L579" s="2" t="n"/>
      <c r="N579" s="2" t="n"/>
    </row>
    <row r="580">
      <c r="D580" s="2" t="n"/>
      <c r="E580" s="3" t="n"/>
      <c r="F580" s="3" t="n"/>
      <c r="G580" s="3" t="n"/>
      <c r="H580" s="4" t="n"/>
      <c r="L580" s="2" t="n"/>
      <c r="N580" s="2" t="n"/>
    </row>
    <row r="581">
      <c r="D581" s="2" t="n"/>
      <c r="E581" s="3" t="n"/>
      <c r="F581" s="3" t="n"/>
      <c r="G581" s="3" t="n"/>
      <c r="H581" s="4" t="n"/>
      <c r="L581" s="2" t="n"/>
      <c r="N581" s="2" t="n"/>
    </row>
    <row r="582">
      <c r="D582" s="2" t="n"/>
      <c r="E582" s="3" t="n"/>
      <c r="F582" s="3" t="n"/>
      <c r="G582" s="3" t="n"/>
      <c r="H582" s="4" t="n"/>
      <c r="L582" s="2" t="n"/>
      <c r="N582" s="2" t="n"/>
    </row>
    <row r="583">
      <c r="D583" s="2" t="n"/>
      <c r="E583" s="3" t="n"/>
      <c r="F583" s="3" t="n"/>
      <c r="G583" s="3" t="n"/>
      <c r="H583" s="4" t="n"/>
      <c r="L583" s="2" t="n"/>
      <c r="N583" s="2" t="n"/>
    </row>
    <row r="584">
      <c r="D584" s="2" t="n"/>
      <c r="E584" s="3" t="n"/>
      <c r="F584" s="3" t="n"/>
      <c r="G584" s="3" t="n"/>
      <c r="H584" s="4" t="n"/>
      <c r="L584" s="2" t="n"/>
      <c r="N584" s="2" t="n"/>
    </row>
    <row r="585">
      <c r="D585" s="2" t="n"/>
      <c r="E585" s="3" t="n"/>
      <c r="F585" s="3" t="n"/>
      <c r="G585" s="3" t="n"/>
      <c r="H585" s="4" t="n"/>
      <c r="L585" s="2" t="n"/>
      <c r="N585" s="2" t="n"/>
    </row>
    <row r="586">
      <c r="D586" s="2" t="n"/>
      <c r="E586" s="3" t="n"/>
      <c r="F586" s="3" t="n"/>
      <c r="G586" s="3" t="n"/>
      <c r="H586" s="4" t="n"/>
      <c r="L586" s="2" t="n"/>
      <c r="N586" s="2" t="n"/>
    </row>
    <row r="587">
      <c r="D587" s="2" t="n"/>
      <c r="E587" s="3" t="n"/>
      <c r="F587" s="3" t="n"/>
      <c r="G587" s="3" t="n"/>
      <c r="H587" s="4" t="n"/>
      <c r="L587" s="2" t="n"/>
      <c r="N587" s="2" t="n"/>
    </row>
    <row r="588">
      <c r="D588" s="2" t="n"/>
      <c r="E588" s="3" t="n"/>
      <c r="F588" s="3" t="n"/>
      <c r="G588" s="3" t="n"/>
      <c r="H588" s="4" t="n"/>
      <c r="L588" s="2" t="n"/>
      <c r="N588" s="2" t="n"/>
    </row>
    <row r="589">
      <c r="D589" s="2" t="n"/>
      <c r="E589" s="3" t="n"/>
      <c r="F589" s="3" t="n"/>
      <c r="G589" s="3" t="n"/>
      <c r="H589" s="4" t="n"/>
      <c r="L589" s="2" t="n"/>
      <c r="N589" s="2" t="n"/>
    </row>
    <row r="590">
      <c r="D590" s="2" t="n"/>
      <c r="E590" s="3" t="n"/>
      <c r="F590" s="3" t="n"/>
      <c r="G590" s="3" t="n"/>
      <c r="H590" s="4" t="n"/>
      <c r="L590" s="2" t="n"/>
      <c r="N590" s="2" t="n"/>
    </row>
    <row r="591">
      <c r="D591" s="2" t="n"/>
      <c r="E591" s="3" t="n"/>
      <c r="F591" s="3" t="n"/>
      <c r="G591" s="3" t="n"/>
      <c r="H591" s="4" t="n"/>
      <c r="L591" s="2" t="n"/>
      <c r="N591" s="2" t="n"/>
    </row>
    <row r="592">
      <c r="D592" s="2" t="n"/>
      <c r="E592" s="3" t="n"/>
      <c r="F592" s="3" t="n"/>
      <c r="G592" s="3" t="n"/>
      <c r="H592" s="4" t="n"/>
      <c r="L592" s="2" t="n"/>
      <c r="N592" s="2" t="n"/>
    </row>
    <row r="593">
      <c r="D593" s="2" t="n"/>
      <c r="E593" s="3" t="n"/>
      <c r="F593" s="3" t="n"/>
      <c r="G593" s="3" t="n"/>
      <c r="H593" s="4" t="n"/>
      <c r="L593" s="2" t="n"/>
      <c r="N593" s="2" t="n"/>
    </row>
    <row r="594">
      <c r="D594" s="2" t="n"/>
      <c r="E594" s="3" t="n"/>
      <c r="F594" s="3" t="n"/>
      <c r="G594" s="3" t="n"/>
      <c r="H594" s="4" t="n"/>
      <c r="L594" s="2" t="n"/>
      <c r="N594" s="2" t="n"/>
    </row>
    <row r="595">
      <c r="D595" s="2" t="n"/>
      <c r="E595" s="3" t="n"/>
      <c r="F595" s="3" t="n"/>
      <c r="G595" s="3" t="n"/>
      <c r="H595" s="4" t="n"/>
      <c r="L595" s="2" t="n"/>
      <c r="N595" s="2" t="n"/>
    </row>
    <row r="596">
      <c r="D596" s="2" t="n"/>
      <c r="E596" s="3" t="n"/>
      <c r="F596" s="3" t="n"/>
      <c r="G596" s="3" t="n"/>
      <c r="H596" s="4" t="n"/>
      <c r="L596" s="2" t="n"/>
      <c r="N596" s="2" t="n"/>
    </row>
    <row r="597">
      <c r="D597" s="2" t="n"/>
      <c r="E597" s="3" t="n"/>
      <c r="F597" s="3" t="n"/>
      <c r="G597" s="3" t="n"/>
      <c r="H597" s="4" t="n"/>
      <c r="L597" s="2" t="n"/>
      <c r="N597" s="2" t="n"/>
    </row>
    <row r="598">
      <c r="D598" s="2" t="n"/>
      <c r="E598" s="3" t="n"/>
      <c r="F598" s="3" t="n"/>
      <c r="G598" s="3" t="n"/>
      <c r="H598" s="4" t="n"/>
      <c r="L598" s="2" t="n"/>
      <c r="N598" s="2" t="n"/>
    </row>
    <row r="599">
      <c r="D599" s="2" t="n"/>
      <c r="E599" s="3" t="n"/>
      <c r="F599" s="3" t="n"/>
      <c r="G599" s="3" t="n"/>
      <c r="H599" s="4" t="n"/>
      <c r="L599" s="2" t="n"/>
      <c r="N599" s="2" t="n"/>
    </row>
    <row r="600">
      <c r="D600" s="2" t="n"/>
      <c r="E600" s="3" t="n"/>
      <c r="F600" s="3" t="n"/>
      <c r="G600" s="3" t="n"/>
      <c r="H600" s="4" t="n"/>
      <c r="L600" s="2" t="n"/>
      <c r="N600" s="2" t="n"/>
    </row>
    <row r="601">
      <c r="D601" s="2" t="n"/>
      <c r="E601" s="3" t="n"/>
      <c r="F601" s="3" t="n"/>
      <c r="G601" s="3" t="n"/>
      <c r="H601" s="4" t="n"/>
      <c r="L601" s="2" t="n"/>
      <c r="N601" s="2" t="n"/>
    </row>
    <row r="602">
      <c r="D602" s="2" t="n"/>
      <c r="E602" s="3" t="n"/>
      <c r="F602" s="3" t="n"/>
      <c r="G602" s="3" t="n"/>
      <c r="H602" s="4" t="n"/>
      <c r="L602" s="2" t="n"/>
      <c r="N602" s="2" t="n"/>
    </row>
    <row r="603">
      <c r="D603" s="2" t="n"/>
      <c r="E603" s="3" t="n"/>
      <c r="F603" s="3" t="n"/>
      <c r="G603" s="3" t="n"/>
      <c r="H603" s="4" t="n"/>
      <c r="L603" s="2" t="n"/>
      <c r="N603" s="2" t="n"/>
    </row>
    <row r="604">
      <c r="D604" s="2" t="n"/>
      <c r="E604" s="3" t="n"/>
      <c r="F604" s="3" t="n"/>
      <c r="G604" s="3" t="n"/>
      <c r="H604" s="4" t="n"/>
      <c r="L604" s="2" t="n"/>
      <c r="N604" s="2" t="n"/>
    </row>
    <row r="605">
      <c r="D605" s="2" t="n"/>
      <c r="E605" s="3" t="n"/>
      <c r="F605" s="3" t="n"/>
      <c r="G605" s="3" t="n"/>
      <c r="H605" s="4" t="n"/>
      <c r="L605" s="2" t="n"/>
      <c r="N605" s="2" t="n"/>
    </row>
    <row r="606">
      <c r="D606" s="2" t="n"/>
      <c r="E606" s="3" t="n"/>
      <c r="F606" s="3" t="n"/>
      <c r="G606" s="3" t="n"/>
      <c r="H606" s="4" t="n"/>
      <c r="L606" s="2" t="n"/>
      <c r="N606" s="2" t="n"/>
    </row>
    <row r="607">
      <c r="D607" s="2" t="n"/>
      <c r="E607" s="3" t="n"/>
      <c r="F607" s="3" t="n"/>
      <c r="G607" s="3" t="n"/>
      <c r="H607" s="4" t="n"/>
      <c r="L607" s="2" t="n"/>
      <c r="N607" s="2" t="n"/>
    </row>
    <row r="608">
      <c r="D608" s="2" t="n"/>
      <c r="E608" s="3" t="n"/>
      <c r="F608" s="3" t="n"/>
      <c r="G608" s="3" t="n"/>
      <c r="H608" s="4" t="n"/>
      <c r="L608" s="2" t="n"/>
      <c r="N608" s="2" t="n"/>
    </row>
    <row r="609">
      <c r="D609" s="2" t="n"/>
      <c r="E609" s="3" t="n"/>
      <c r="F609" s="3" t="n"/>
      <c r="G609" s="3" t="n"/>
      <c r="H609" s="4" t="n"/>
      <c r="L609" s="2" t="n"/>
      <c r="N609" s="2" t="n"/>
    </row>
    <row r="610">
      <c r="D610" s="2" t="n"/>
      <c r="E610" s="3" t="n"/>
      <c r="F610" s="3" t="n"/>
      <c r="G610" s="3" t="n"/>
      <c r="H610" s="4" t="n"/>
      <c r="L610" s="2" t="n"/>
      <c r="N610" s="2" t="n"/>
    </row>
    <row r="611">
      <c r="D611" s="2" t="n"/>
      <c r="E611" s="3" t="n"/>
      <c r="F611" s="3" t="n"/>
      <c r="G611" s="3" t="n"/>
      <c r="H611" s="4" t="n"/>
      <c r="L611" s="2" t="n"/>
      <c r="N611" s="2" t="n"/>
    </row>
    <row r="612">
      <c r="D612" s="2" t="n"/>
      <c r="E612" s="3" t="n"/>
      <c r="F612" s="3" t="n"/>
      <c r="G612" s="3" t="n"/>
      <c r="H612" s="4" t="n"/>
      <c r="L612" s="2" t="n"/>
      <c r="N612" s="2" t="n"/>
    </row>
    <row r="613">
      <c r="D613" s="2" t="n"/>
      <c r="E613" s="3" t="n"/>
      <c r="F613" s="3" t="n"/>
      <c r="G613" s="3" t="n"/>
      <c r="H613" s="4" t="n"/>
      <c r="L613" s="2" t="n"/>
      <c r="N613" s="2" t="n"/>
    </row>
    <row r="614">
      <c r="D614" s="2" t="n"/>
      <c r="E614" s="3" t="n"/>
      <c r="F614" s="3" t="n"/>
      <c r="G614" s="3" t="n"/>
      <c r="H614" s="4" t="n"/>
      <c r="L614" s="2" t="n"/>
      <c r="N614" s="2" t="n"/>
    </row>
    <row r="615">
      <c r="D615" s="2" t="n"/>
      <c r="E615" s="3" t="n"/>
      <c r="F615" s="3" t="n"/>
      <c r="G615" s="3" t="n"/>
      <c r="H615" s="4" t="n"/>
      <c r="L615" s="2" t="n"/>
      <c r="N615" s="2" t="n"/>
    </row>
    <row r="616">
      <c r="D616" s="2" t="n"/>
      <c r="E616" s="3" t="n"/>
      <c r="F616" s="3" t="n"/>
      <c r="G616" s="3" t="n"/>
      <c r="H616" s="4" t="n"/>
      <c r="L616" s="2" t="n"/>
      <c r="N616" s="2" t="n"/>
    </row>
    <row r="617">
      <c r="D617" s="2" t="n"/>
      <c r="E617" s="3" t="n"/>
      <c r="F617" s="3" t="n"/>
      <c r="G617" s="3" t="n"/>
      <c r="H617" s="4" t="n"/>
      <c r="L617" s="2" t="n"/>
      <c r="N617" s="2" t="n"/>
    </row>
    <row r="618">
      <c r="D618" s="2" t="n"/>
      <c r="E618" s="3" t="n"/>
      <c r="F618" s="3" t="n"/>
      <c r="G618" s="3" t="n"/>
      <c r="H618" s="4" t="n"/>
      <c r="L618" s="2" t="n"/>
      <c r="N618" s="2" t="n"/>
    </row>
    <row r="619">
      <c r="D619" s="2" t="n"/>
      <c r="E619" s="3" t="n"/>
      <c r="F619" s="3" t="n"/>
      <c r="G619" s="3" t="n"/>
      <c r="H619" s="4" t="n"/>
      <c r="L619" s="2" t="n"/>
      <c r="N619" s="2" t="n"/>
    </row>
    <row r="620">
      <c r="D620" s="2" t="n"/>
      <c r="E620" s="3" t="n"/>
      <c r="F620" s="3" t="n"/>
      <c r="G620" s="3" t="n"/>
      <c r="H620" s="4" t="n"/>
      <c r="L620" s="2" t="n"/>
      <c r="N620" s="2" t="n"/>
    </row>
    <row r="621">
      <c r="D621" s="2" t="n"/>
      <c r="E621" s="3" t="n"/>
      <c r="F621" s="3" t="n"/>
      <c r="G621" s="3" t="n"/>
      <c r="H621" s="4" t="n"/>
      <c r="L621" s="2" t="n"/>
      <c r="N621" s="2" t="n"/>
    </row>
    <row r="622">
      <c r="D622" s="2" t="n"/>
      <c r="E622" s="3" t="n"/>
      <c r="F622" s="3" t="n"/>
      <c r="G622" s="3" t="n"/>
      <c r="H622" s="4" t="n"/>
      <c r="L622" s="2" t="n"/>
      <c r="N622" s="2" t="n"/>
    </row>
    <row r="623">
      <c r="D623" s="2" t="n"/>
      <c r="E623" s="3" t="n"/>
      <c r="F623" s="3" t="n"/>
      <c r="G623" s="3" t="n"/>
      <c r="H623" s="4" t="n"/>
      <c r="L623" s="2" t="n"/>
      <c r="N623" s="2" t="n"/>
    </row>
    <row r="624">
      <c r="D624" s="2" t="n"/>
      <c r="E624" s="3" t="n"/>
      <c r="F624" s="3" t="n"/>
      <c r="G624" s="3" t="n"/>
      <c r="H624" s="4" t="n"/>
      <c r="L624" s="2" t="n"/>
      <c r="N624" s="2" t="n"/>
    </row>
    <row r="625">
      <c r="D625" s="2" t="n"/>
      <c r="E625" s="3" t="n"/>
      <c r="F625" s="3" t="n"/>
      <c r="G625" s="3" t="n"/>
      <c r="H625" s="4" t="n"/>
      <c r="L625" s="2" t="n"/>
      <c r="N625" s="2" t="n"/>
    </row>
    <row r="626">
      <c r="D626" s="2" t="n"/>
      <c r="E626" s="3" t="n"/>
      <c r="F626" s="3" t="n"/>
      <c r="G626" s="3" t="n"/>
      <c r="H626" s="4" t="n"/>
      <c r="L626" s="2" t="n"/>
      <c r="N626" s="2" t="n"/>
    </row>
    <row r="627">
      <c r="D627" s="2" t="n"/>
      <c r="E627" s="3" t="n"/>
      <c r="F627" s="3" t="n"/>
      <c r="G627" s="3" t="n"/>
      <c r="H627" s="4" t="n"/>
      <c r="L627" s="2" t="n"/>
      <c r="N627" s="2" t="n"/>
    </row>
    <row r="628">
      <c r="D628" s="2" t="n"/>
      <c r="E628" s="3" t="n"/>
      <c r="F628" s="3" t="n"/>
      <c r="G628" s="3" t="n"/>
      <c r="H628" s="4" t="n"/>
      <c r="L628" s="2" t="n"/>
      <c r="N628" s="2" t="n"/>
    </row>
    <row r="629">
      <c r="D629" s="2" t="n"/>
      <c r="E629" s="3" t="n"/>
      <c r="F629" s="3" t="n"/>
      <c r="G629" s="3" t="n"/>
      <c r="H629" s="4" t="n"/>
      <c r="L629" s="2" t="n"/>
      <c r="N629" s="2" t="n"/>
    </row>
    <row r="630">
      <c r="D630" s="2" t="n"/>
      <c r="E630" s="3" t="n"/>
      <c r="F630" s="3" t="n"/>
      <c r="G630" s="3" t="n"/>
      <c r="H630" s="4" t="n"/>
      <c r="L630" s="2" t="n"/>
      <c r="N630" s="2" t="n"/>
    </row>
    <row r="631">
      <c r="D631" s="2" t="n"/>
      <c r="E631" s="3" t="n"/>
      <c r="F631" s="3" t="n"/>
      <c r="G631" s="3" t="n"/>
      <c r="H631" s="4" t="n"/>
      <c r="L631" s="2" t="n"/>
      <c r="N631" s="2" t="n"/>
    </row>
    <row r="632">
      <c r="D632" s="2" t="n"/>
      <c r="E632" s="3" t="n"/>
      <c r="F632" s="3" t="n"/>
      <c r="G632" s="3" t="n"/>
      <c r="H632" s="4" t="n"/>
      <c r="L632" s="2" t="n"/>
      <c r="N632" s="2" t="n"/>
    </row>
    <row r="633">
      <c r="D633" s="2" t="n"/>
      <c r="E633" s="3" t="n"/>
      <c r="F633" s="3" t="n"/>
      <c r="G633" s="3" t="n"/>
      <c r="H633" s="4" t="n"/>
      <c r="L633" s="2" t="n"/>
      <c r="N633" s="2" t="n"/>
    </row>
    <row r="634">
      <c r="D634" s="2" t="n"/>
      <c r="E634" s="3" t="n"/>
      <c r="F634" s="3" t="n"/>
      <c r="G634" s="3" t="n"/>
      <c r="H634" s="4" t="n"/>
      <c r="L634" s="2" t="n"/>
      <c r="N634" s="2" t="n"/>
    </row>
    <row r="635">
      <c r="D635" s="2" t="n"/>
      <c r="E635" s="3" t="n"/>
      <c r="F635" s="3" t="n"/>
      <c r="G635" s="3" t="n"/>
      <c r="H635" s="4" t="n"/>
      <c r="L635" s="2" t="n"/>
      <c r="N635" s="2" t="n"/>
    </row>
    <row r="636">
      <c r="D636" s="2" t="n"/>
      <c r="E636" s="3" t="n"/>
      <c r="F636" s="3" t="n"/>
      <c r="G636" s="3" t="n"/>
      <c r="H636" s="4" t="n"/>
      <c r="L636" s="2" t="n"/>
      <c r="N636" s="2" t="n"/>
    </row>
    <row r="637">
      <c r="D637" s="2" t="n"/>
      <c r="E637" s="3" t="n"/>
      <c r="F637" s="3" t="n"/>
      <c r="G637" s="3" t="n"/>
      <c r="H637" s="4" t="n"/>
      <c r="L637" s="2" t="n"/>
      <c r="N637" s="2" t="n"/>
    </row>
    <row r="638">
      <c r="D638" s="2" t="n"/>
      <c r="E638" s="3" t="n"/>
      <c r="F638" s="3" t="n"/>
      <c r="G638" s="3" t="n"/>
      <c r="H638" s="4" t="n"/>
      <c r="L638" s="2" t="n"/>
      <c r="N638" s="2" t="n"/>
    </row>
    <row r="639">
      <c r="D639" s="2" t="n"/>
      <c r="E639" s="3" t="n"/>
      <c r="F639" s="3" t="n"/>
      <c r="G639" s="3" t="n"/>
      <c r="H639" s="4" t="n"/>
      <c r="L639" s="2" t="n"/>
      <c r="N639" s="2" t="n"/>
    </row>
    <row r="640">
      <c r="D640" s="2" t="n"/>
      <c r="E640" s="3" t="n"/>
      <c r="F640" s="3" t="n"/>
      <c r="G640" s="3" t="n"/>
      <c r="H640" s="4" t="n"/>
      <c r="L640" s="2" t="n"/>
      <c r="N640" s="2" t="n"/>
    </row>
    <row r="641">
      <c r="D641" s="2" t="n"/>
      <c r="E641" s="3" t="n"/>
      <c r="F641" s="3" t="n"/>
      <c r="G641" s="3" t="n"/>
      <c r="H641" s="4" t="n"/>
      <c r="L641" s="2" t="n"/>
      <c r="N641" s="2" t="n"/>
    </row>
    <row r="642">
      <c r="D642" s="2" t="n"/>
      <c r="E642" s="3" t="n"/>
      <c r="F642" s="3" t="n"/>
      <c r="G642" s="3" t="n"/>
      <c r="H642" s="4" t="n"/>
      <c r="L642" s="2" t="n"/>
      <c r="N642" s="2" t="n"/>
    </row>
    <row r="643">
      <c r="D643" s="2" t="n"/>
      <c r="E643" s="3" t="n"/>
      <c r="F643" s="3" t="n"/>
      <c r="G643" s="3" t="n"/>
      <c r="H643" s="4" t="n"/>
      <c r="L643" s="2" t="n"/>
      <c r="N643" s="2" t="n"/>
    </row>
    <row r="644">
      <c r="D644" s="2" t="n"/>
      <c r="E644" s="3" t="n"/>
      <c r="F644" s="3" t="n"/>
      <c r="G644" s="3" t="n"/>
      <c r="H644" s="4" t="n"/>
      <c r="L644" s="2" t="n"/>
      <c r="N644" s="2" t="n"/>
    </row>
    <row r="645">
      <c r="D645" s="2" t="n"/>
      <c r="E645" s="3" t="n"/>
      <c r="F645" s="3" t="n"/>
      <c r="G645" s="3" t="n"/>
      <c r="H645" s="4" t="n"/>
      <c r="L645" s="2" t="n"/>
      <c r="N645" s="2" t="n"/>
    </row>
    <row r="646">
      <c r="D646" s="2" t="n"/>
      <c r="E646" s="3" t="n"/>
      <c r="F646" s="3" t="n"/>
      <c r="G646" s="3" t="n"/>
      <c r="H646" s="4" t="n"/>
      <c r="L646" s="2" t="n"/>
      <c r="N646" s="2" t="n"/>
    </row>
    <row r="647">
      <c r="D647" s="2" t="n"/>
      <c r="E647" s="3" t="n"/>
      <c r="F647" s="3" t="n"/>
      <c r="G647" s="3" t="n"/>
      <c r="H647" s="4" t="n"/>
      <c r="L647" s="2" t="n"/>
      <c r="N647" s="2" t="n"/>
    </row>
    <row r="648">
      <c r="D648" s="2" t="n"/>
      <c r="E648" s="3" t="n"/>
      <c r="F648" s="3" t="n"/>
      <c r="G648" s="3" t="n"/>
      <c r="H648" s="4" t="n"/>
      <c r="L648" s="2" t="n"/>
      <c r="N648" s="2" t="n"/>
    </row>
    <row r="649">
      <c r="D649" s="2" t="n"/>
      <c r="E649" s="3" t="n"/>
      <c r="F649" s="3" t="n"/>
      <c r="G649" s="3" t="n"/>
      <c r="H649" s="4" t="n"/>
      <c r="L649" s="2" t="n"/>
      <c r="N649" s="2" t="n"/>
    </row>
    <row r="650">
      <c r="D650" s="2" t="n"/>
      <c r="E650" s="3" t="n"/>
      <c r="F650" s="3" t="n"/>
      <c r="G650" s="3" t="n"/>
      <c r="H650" s="4" t="n"/>
      <c r="L650" s="2" t="n"/>
      <c r="N650" s="2" t="n"/>
    </row>
    <row r="651">
      <c r="D651" s="2" t="n"/>
      <c r="E651" s="3" t="n"/>
      <c r="F651" s="3" t="n"/>
      <c r="G651" s="3" t="n"/>
      <c r="H651" s="4" t="n"/>
      <c r="L651" s="2" t="n"/>
      <c r="N651" s="2" t="n"/>
    </row>
    <row r="652">
      <c r="D652" s="2" t="n"/>
      <c r="E652" s="3" t="n"/>
      <c r="F652" s="3" t="n"/>
      <c r="G652" s="3" t="n"/>
      <c r="H652" s="4" t="n"/>
      <c r="L652" s="2" t="n"/>
      <c r="N652" s="2" t="n"/>
    </row>
    <row r="653">
      <c r="D653" s="2" t="n"/>
      <c r="E653" s="3" t="n"/>
      <c r="F653" s="3" t="n"/>
      <c r="G653" s="3" t="n"/>
      <c r="H653" s="4" t="n"/>
      <c r="L653" s="2" t="n"/>
      <c r="N653" s="2" t="n"/>
    </row>
    <row r="654">
      <c r="D654" s="2" t="n"/>
      <c r="E654" s="3" t="n"/>
      <c r="F654" s="3" t="n"/>
      <c r="G654" s="3" t="n"/>
      <c r="H654" s="4" t="n"/>
      <c r="L654" s="2" t="n"/>
      <c r="N654" s="2" t="n"/>
    </row>
    <row r="655">
      <c r="D655" s="2" t="n"/>
      <c r="E655" s="3" t="n"/>
      <c r="F655" s="3" t="n"/>
      <c r="G655" s="3" t="n"/>
      <c r="H655" s="4" t="n"/>
      <c r="L655" s="2" t="n"/>
      <c r="N655" s="2" t="n"/>
    </row>
    <row r="656">
      <c r="D656" s="2" t="n"/>
      <c r="E656" s="3" t="n"/>
      <c r="F656" s="3" t="n"/>
      <c r="G656" s="3" t="n"/>
      <c r="H656" s="4" t="n"/>
      <c r="L656" s="2" t="n"/>
      <c r="N656" s="2" t="n"/>
    </row>
    <row r="657">
      <c r="D657" s="2" t="n"/>
      <c r="E657" s="3" t="n"/>
      <c r="F657" s="3" t="n"/>
      <c r="G657" s="3" t="n"/>
      <c r="H657" s="4" t="n"/>
      <c r="L657" s="2" t="n"/>
      <c r="N657" s="2" t="n"/>
    </row>
    <row r="658">
      <c r="D658" s="2" t="n"/>
      <c r="E658" s="3" t="n"/>
      <c r="F658" s="3" t="n"/>
      <c r="G658" s="3" t="n"/>
      <c r="H658" s="4" t="n"/>
      <c r="L658" s="2" t="n"/>
      <c r="N658" s="2" t="n"/>
    </row>
    <row r="659">
      <c r="D659" s="2" t="n"/>
      <c r="E659" s="3" t="n"/>
      <c r="F659" s="3" t="n"/>
      <c r="G659" s="3" t="n"/>
      <c r="H659" s="4" t="n"/>
      <c r="L659" s="2" t="n"/>
      <c r="N659" s="2" t="n"/>
    </row>
    <row r="660">
      <c r="D660" s="2" t="n"/>
      <c r="E660" s="3" t="n"/>
      <c r="F660" s="3" t="n"/>
      <c r="G660" s="3" t="n"/>
      <c r="H660" s="4" t="n"/>
      <c r="L660" s="2" t="n"/>
      <c r="N660" s="2" t="n"/>
    </row>
    <row r="661">
      <c r="D661" s="2" t="n"/>
      <c r="E661" s="3" t="n"/>
      <c r="F661" s="3" t="n"/>
      <c r="G661" s="3" t="n"/>
      <c r="H661" s="4" t="n"/>
      <c r="L661" s="2" t="n"/>
      <c r="N661" s="2" t="n"/>
    </row>
    <row r="662">
      <c r="D662" s="2" t="n"/>
      <c r="E662" s="3" t="n"/>
      <c r="F662" s="3" t="n"/>
      <c r="G662" s="3" t="n"/>
      <c r="H662" s="4" t="n"/>
      <c r="L662" s="2" t="n"/>
      <c r="N662" s="2" t="n"/>
    </row>
    <row r="663">
      <c r="D663" s="2" t="n"/>
      <c r="E663" s="3" t="n"/>
      <c r="F663" s="3" t="n"/>
      <c r="G663" s="3" t="n"/>
      <c r="H663" s="4" t="n"/>
      <c r="L663" s="2" t="n"/>
      <c r="N663" s="2" t="n"/>
    </row>
    <row r="664">
      <c r="D664" s="2" t="n"/>
      <c r="E664" s="3" t="n"/>
      <c r="F664" s="3" t="n"/>
      <c r="G664" s="3" t="n"/>
      <c r="H664" s="4" t="n"/>
      <c r="L664" s="2" t="n"/>
      <c r="N664" s="2" t="n"/>
    </row>
    <row r="665">
      <c r="D665" s="2" t="n"/>
      <c r="E665" s="3" t="n"/>
      <c r="F665" s="3" t="n"/>
      <c r="G665" s="3" t="n"/>
      <c r="H665" s="4" t="n"/>
      <c r="L665" s="2" t="n"/>
      <c r="N665" s="2" t="n"/>
    </row>
    <row r="666">
      <c r="D666" s="2" t="n"/>
      <c r="E666" s="3" t="n"/>
      <c r="F666" s="3" t="n"/>
      <c r="G666" s="3" t="n"/>
      <c r="H666" s="4" t="n"/>
      <c r="L666" s="2" t="n"/>
      <c r="N666" s="2" t="n"/>
    </row>
    <row r="667">
      <c r="D667" s="2" t="n"/>
      <c r="E667" s="3" t="n"/>
      <c r="F667" s="3" t="n"/>
      <c r="G667" s="3" t="n"/>
      <c r="H667" s="4" t="n"/>
      <c r="L667" s="2" t="n"/>
      <c r="N667" s="2" t="n"/>
    </row>
    <row r="668">
      <c r="D668" s="2" t="n"/>
      <c r="E668" s="3" t="n"/>
      <c r="F668" s="3" t="n"/>
      <c r="G668" s="3" t="n"/>
      <c r="H668" s="4" t="n"/>
      <c r="L668" s="2" t="n"/>
      <c r="N668" s="2" t="n"/>
    </row>
    <row r="669">
      <c r="D669" s="2" t="n"/>
      <c r="E669" s="3" t="n"/>
      <c r="F669" s="3" t="n"/>
      <c r="G669" s="3" t="n"/>
      <c r="H669" s="4" t="n"/>
      <c r="L669" s="2" t="n"/>
      <c r="N669" s="2" t="n"/>
    </row>
    <row r="670">
      <c r="D670" s="2" t="n"/>
      <c r="E670" s="3" t="n"/>
      <c r="F670" s="3" t="n"/>
      <c r="G670" s="3" t="n"/>
      <c r="H670" s="4" t="n"/>
      <c r="L670" s="2" t="n"/>
      <c r="N670" s="2" t="n"/>
    </row>
    <row r="671">
      <c r="D671" s="2" t="n"/>
      <c r="E671" s="3" t="n"/>
      <c r="F671" s="3" t="n"/>
      <c r="G671" s="3" t="n"/>
      <c r="H671" s="4" t="n"/>
      <c r="L671" s="2" t="n"/>
      <c r="N671" s="2" t="n"/>
    </row>
    <row r="672">
      <c r="D672" s="2" t="n"/>
      <c r="E672" s="3" t="n"/>
      <c r="F672" s="3" t="n"/>
      <c r="G672" s="3" t="n"/>
      <c r="H672" s="4" t="n"/>
      <c r="L672" s="2" t="n"/>
      <c r="N672" s="2" t="n"/>
    </row>
    <row r="673">
      <c r="D673" s="2" t="n"/>
      <c r="E673" s="3" t="n"/>
      <c r="F673" s="3" t="n"/>
      <c r="G673" s="3" t="n"/>
      <c r="H673" s="4" t="n"/>
      <c r="L673" s="2" t="n"/>
      <c r="N673" s="2" t="n"/>
    </row>
    <row r="674">
      <c r="D674" s="2" t="n"/>
      <c r="E674" s="3" t="n"/>
      <c r="F674" s="3" t="n"/>
      <c r="G674" s="3" t="n"/>
      <c r="H674" s="4" t="n"/>
      <c r="L674" s="2" t="n"/>
      <c r="N674" s="2" t="n"/>
    </row>
    <row r="675">
      <c r="D675" s="2" t="n"/>
      <c r="E675" s="3" t="n"/>
      <c r="F675" s="3" t="n"/>
      <c r="G675" s="3" t="n"/>
      <c r="H675" s="4" t="n"/>
      <c r="L675" s="2" t="n"/>
      <c r="N675" s="2" t="n"/>
    </row>
    <row r="676">
      <c r="D676" s="2" t="n"/>
      <c r="E676" s="3" t="n"/>
      <c r="F676" s="3" t="n"/>
      <c r="G676" s="3" t="n"/>
      <c r="H676" s="4" t="n"/>
      <c r="L676" s="2" t="n"/>
      <c r="N676" s="2" t="n"/>
    </row>
    <row r="677">
      <c r="D677" s="2" t="n"/>
      <c r="E677" s="3" t="n"/>
      <c r="F677" s="3" t="n"/>
      <c r="G677" s="3" t="n"/>
      <c r="H677" s="4" t="n"/>
      <c r="L677" s="2" t="n"/>
      <c r="N677" s="2" t="n"/>
    </row>
    <row r="678">
      <c r="D678" s="2" t="n"/>
      <c r="E678" s="3" t="n"/>
      <c r="F678" s="3" t="n"/>
      <c r="G678" s="3" t="n"/>
      <c r="H678" s="4" t="n"/>
      <c r="L678" s="2" t="n"/>
      <c r="N678" s="2" t="n"/>
    </row>
    <row r="679">
      <c r="D679" s="2" t="n"/>
      <c r="E679" s="3" t="n"/>
      <c r="F679" s="3" t="n"/>
      <c r="G679" s="3" t="n"/>
      <c r="H679" s="4" t="n"/>
      <c r="L679" s="2" t="n"/>
      <c r="N679" s="2" t="n"/>
    </row>
    <row r="680">
      <c r="D680" s="2" t="n"/>
      <c r="E680" s="3" t="n"/>
      <c r="F680" s="3" t="n"/>
      <c r="G680" s="3" t="n"/>
      <c r="H680" s="4" t="n"/>
      <c r="L680" s="2" t="n"/>
      <c r="N680" s="2" t="n"/>
    </row>
    <row r="681">
      <c r="D681" s="2" t="n"/>
      <c r="E681" s="3" t="n"/>
      <c r="F681" s="3" t="n"/>
      <c r="G681" s="3" t="n"/>
      <c r="H681" s="4" t="n"/>
      <c r="L681" s="2" t="n"/>
      <c r="N681" s="2" t="n"/>
    </row>
    <row r="682">
      <c r="D682" s="2" t="n"/>
      <c r="E682" s="3" t="n"/>
      <c r="F682" s="3" t="n"/>
      <c r="G682" s="3" t="n"/>
      <c r="H682" s="4" t="n"/>
      <c r="L682" s="2" t="n"/>
      <c r="N682" s="2" t="n"/>
    </row>
    <row r="683">
      <c r="D683" s="2" t="n"/>
      <c r="E683" s="3" t="n"/>
      <c r="F683" s="3" t="n"/>
      <c r="G683" s="3" t="n"/>
      <c r="H683" s="4" t="n"/>
      <c r="L683" s="2" t="n"/>
      <c r="N683" s="2" t="n"/>
    </row>
    <row r="684">
      <c r="D684" s="2" t="n"/>
      <c r="E684" s="3" t="n"/>
      <c r="F684" s="3" t="n"/>
      <c r="G684" s="3" t="n"/>
      <c r="H684" s="4" t="n"/>
      <c r="L684" s="2" t="n"/>
      <c r="N684" s="2" t="n"/>
    </row>
    <row r="685">
      <c r="D685" s="2" t="n"/>
      <c r="E685" s="3" t="n"/>
      <c r="F685" s="3" t="n"/>
      <c r="G685" s="3" t="n"/>
      <c r="H685" s="4" t="n"/>
      <c r="L685" s="2" t="n"/>
      <c r="N685" s="2" t="n"/>
    </row>
    <row r="686">
      <c r="D686" s="2" t="n"/>
      <c r="E686" s="3" t="n"/>
      <c r="F686" s="3" t="n"/>
      <c r="G686" s="3" t="n"/>
      <c r="H686" s="4" t="n"/>
      <c r="L686" s="2" t="n"/>
      <c r="N686" s="2" t="n"/>
    </row>
    <row r="687">
      <c r="D687" s="2" t="n"/>
      <c r="E687" s="3" t="n"/>
      <c r="F687" s="3" t="n"/>
      <c r="G687" s="3" t="n"/>
      <c r="H687" s="4" t="n"/>
      <c r="L687" s="2" t="n"/>
      <c r="N687" s="2" t="n"/>
    </row>
    <row r="688">
      <c r="D688" s="2" t="n"/>
      <c r="E688" s="3" t="n"/>
      <c r="F688" s="3" t="n"/>
      <c r="G688" s="3" t="n"/>
      <c r="H688" s="4" t="n"/>
      <c r="L688" s="2" t="n"/>
      <c r="N688" s="2" t="n"/>
    </row>
    <row r="689">
      <c r="D689" s="2" t="n"/>
      <c r="E689" s="3" t="n"/>
      <c r="F689" s="3" t="n"/>
      <c r="G689" s="3" t="n"/>
      <c r="H689" s="4" t="n"/>
      <c r="L689" s="2" t="n"/>
      <c r="N689" s="2" t="n"/>
    </row>
    <row r="690">
      <c r="D690" s="2" t="n"/>
      <c r="E690" s="3" t="n"/>
      <c r="F690" s="3" t="n"/>
      <c r="G690" s="3" t="n"/>
      <c r="H690" s="4" t="n"/>
      <c r="L690" s="2" t="n"/>
      <c r="N690" s="2" t="n"/>
    </row>
    <row r="691">
      <c r="D691" s="2" t="n"/>
      <c r="E691" s="3" t="n"/>
      <c r="F691" s="3" t="n"/>
      <c r="G691" s="3" t="n"/>
      <c r="H691" s="4" t="n"/>
      <c r="L691" s="2" t="n"/>
      <c r="N691" s="2" t="n"/>
    </row>
    <row r="692">
      <c r="D692" s="2" t="n"/>
      <c r="E692" s="3" t="n"/>
      <c r="F692" s="3" t="n"/>
      <c r="G692" s="3" t="n"/>
      <c r="H692" s="4" t="n"/>
      <c r="L692" s="2" t="n"/>
      <c r="N692" s="2" t="n"/>
    </row>
    <row r="693">
      <c r="D693" s="2" t="n"/>
      <c r="E693" s="3" t="n"/>
      <c r="F693" s="3" t="n"/>
      <c r="G693" s="3" t="n"/>
      <c r="H693" s="4" t="n"/>
      <c r="L693" s="2" t="n"/>
      <c r="N693" s="2" t="n"/>
    </row>
    <row r="694">
      <c r="D694" s="2" t="n"/>
      <c r="E694" s="3" t="n"/>
      <c r="F694" s="3" t="n"/>
      <c r="G694" s="3" t="n"/>
      <c r="H694" s="4" t="n"/>
      <c r="L694" s="2" t="n"/>
      <c r="N694" s="2" t="n"/>
    </row>
    <row r="695">
      <c r="D695" s="2" t="n"/>
      <c r="E695" s="3" t="n"/>
      <c r="F695" s="3" t="n"/>
      <c r="G695" s="3" t="n"/>
      <c r="H695" s="4" t="n"/>
      <c r="L695" s="2" t="n"/>
      <c r="N695" s="2" t="n"/>
    </row>
    <row r="696">
      <c r="D696" s="2" t="n"/>
      <c r="E696" s="3" t="n"/>
      <c r="F696" s="3" t="n"/>
      <c r="G696" s="3" t="n"/>
      <c r="H696" s="4" t="n"/>
      <c r="L696" s="2" t="n"/>
      <c r="N696" s="2" t="n"/>
    </row>
    <row r="697">
      <c r="D697" s="2" t="n"/>
      <c r="E697" s="3" t="n"/>
      <c r="F697" s="3" t="n"/>
      <c r="G697" s="3" t="n"/>
      <c r="H697" s="4" t="n"/>
      <c r="L697" s="2" t="n"/>
      <c r="N697" s="2" t="n"/>
    </row>
    <row r="698">
      <c r="D698" s="2" t="n"/>
      <c r="E698" s="3" t="n"/>
      <c r="F698" s="3" t="n"/>
      <c r="G698" s="3" t="n"/>
      <c r="H698" s="4" t="n"/>
      <c r="L698" s="2" t="n"/>
      <c r="N698" s="2" t="n"/>
    </row>
    <row r="699">
      <c r="D699" s="2" t="n"/>
      <c r="E699" s="3" t="n"/>
      <c r="F699" s="3" t="n"/>
      <c r="G699" s="3" t="n"/>
      <c r="H699" s="4" t="n"/>
      <c r="L699" s="2" t="n"/>
      <c r="N699" s="2" t="n"/>
    </row>
    <row r="700">
      <c r="D700" s="2" t="n"/>
      <c r="E700" s="3" t="n"/>
      <c r="F700" s="3" t="n"/>
      <c r="G700" s="3" t="n"/>
      <c r="H700" s="4" t="n"/>
      <c r="L700" s="2" t="n"/>
      <c r="N700" s="2" t="n"/>
    </row>
    <row r="701">
      <c r="D701" s="2" t="n"/>
      <c r="E701" s="3" t="n"/>
      <c r="F701" s="3" t="n"/>
      <c r="G701" s="3" t="n"/>
      <c r="H701" s="4" t="n"/>
      <c r="L701" s="2" t="n"/>
      <c r="N701" s="2" t="n"/>
    </row>
    <row r="702">
      <c r="D702" s="2" t="n"/>
      <c r="E702" s="3" t="n"/>
      <c r="F702" s="3" t="n"/>
      <c r="G702" s="3" t="n"/>
      <c r="H702" s="4" t="n"/>
      <c r="L702" s="2" t="n"/>
      <c r="N702" s="2" t="n"/>
    </row>
    <row r="703">
      <c r="D703" s="2" t="n"/>
      <c r="E703" s="3" t="n"/>
      <c r="F703" s="3" t="n"/>
      <c r="G703" s="3" t="n"/>
      <c r="H703" s="4" t="n"/>
      <c r="L703" s="2" t="n"/>
      <c r="N703" s="2" t="n"/>
    </row>
    <row r="704">
      <c r="D704" s="2" t="n"/>
      <c r="E704" s="3" t="n"/>
      <c r="F704" s="3" t="n"/>
      <c r="G704" s="3" t="n"/>
      <c r="H704" s="4" t="n"/>
      <c r="L704" s="2" t="n"/>
      <c r="N704" s="2" t="n"/>
    </row>
    <row r="705">
      <c r="D705" s="2" t="n"/>
      <c r="E705" s="3" t="n"/>
      <c r="F705" s="3" t="n"/>
      <c r="G705" s="3" t="n"/>
      <c r="H705" s="4" t="n"/>
      <c r="L705" s="2" t="n"/>
      <c r="N705" s="2" t="n"/>
    </row>
    <row r="706">
      <c r="D706" s="2" t="n"/>
      <c r="E706" s="3" t="n"/>
      <c r="F706" s="3" t="n"/>
      <c r="G706" s="3" t="n"/>
      <c r="H706" s="4" t="n"/>
      <c r="L706" s="2" t="n"/>
      <c r="N706" s="2" t="n"/>
    </row>
    <row r="707">
      <c r="D707" s="2" t="n"/>
      <c r="E707" s="3" t="n"/>
      <c r="F707" s="3" t="n"/>
      <c r="G707" s="3" t="n"/>
      <c r="H707" s="4" t="n"/>
      <c r="L707" s="2" t="n"/>
      <c r="N707" s="2" t="n"/>
    </row>
    <row r="708">
      <c r="D708" s="2" t="n"/>
      <c r="E708" s="3" t="n"/>
      <c r="F708" s="3" t="n"/>
      <c r="G708" s="3" t="n"/>
      <c r="H708" s="4" t="n"/>
      <c r="L708" s="2" t="n"/>
      <c r="N708" s="2" t="n"/>
    </row>
    <row r="709">
      <c r="D709" s="2" t="n"/>
      <c r="E709" s="3" t="n"/>
      <c r="F709" s="3" t="n"/>
      <c r="G709" s="3" t="n"/>
      <c r="H709" s="4" t="n"/>
      <c r="L709" s="2" t="n"/>
      <c r="N709" s="2" t="n"/>
    </row>
    <row r="710">
      <c r="D710" s="2" t="n"/>
      <c r="E710" s="3" t="n"/>
      <c r="F710" s="3" t="n"/>
      <c r="G710" s="3" t="n"/>
      <c r="H710" s="4" t="n"/>
      <c r="L710" s="2" t="n"/>
      <c r="N710" s="2" t="n"/>
    </row>
    <row r="711">
      <c r="D711" s="2" t="n"/>
      <c r="E711" s="3" t="n"/>
      <c r="F711" s="3" t="n"/>
      <c r="G711" s="3" t="n"/>
      <c r="H711" s="4" t="n"/>
      <c r="L711" s="2" t="n"/>
      <c r="N711" s="2" t="n"/>
    </row>
    <row r="712">
      <c r="D712" s="2" t="n"/>
      <c r="E712" s="3" t="n"/>
      <c r="F712" s="3" t="n"/>
      <c r="G712" s="3" t="n"/>
      <c r="H712" s="4" t="n"/>
      <c r="L712" s="2" t="n"/>
      <c r="N712" s="2" t="n"/>
    </row>
    <row r="713">
      <c r="D713" s="2" t="n"/>
      <c r="E713" s="3" t="n"/>
      <c r="F713" s="3" t="n"/>
      <c r="G713" s="3" t="n"/>
      <c r="H713" s="4" t="n"/>
      <c r="L713" s="2" t="n"/>
      <c r="N713" s="2" t="n"/>
    </row>
    <row r="714">
      <c r="D714" s="2" t="n"/>
      <c r="E714" s="3" t="n"/>
      <c r="F714" s="3" t="n"/>
      <c r="G714" s="3" t="n"/>
      <c r="H714" s="4" t="n"/>
      <c r="L714" s="2" t="n"/>
      <c r="N714" s="2" t="n"/>
    </row>
    <row r="715">
      <c r="D715" s="2" t="n"/>
      <c r="E715" s="3" t="n"/>
      <c r="F715" s="3" t="n"/>
      <c r="G715" s="3" t="n"/>
      <c r="H715" s="4" t="n"/>
      <c r="L715" s="2" t="n"/>
      <c r="N715" s="2" t="n"/>
    </row>
    <row r="716">
      <c r="D716" s="2" t="n"/>
      <c r="E716" s="3" t="n"/>
      <c r="F716" s="3" t="n"/>
      <c r="G716" s="3" t="n"/>
      <c r="H716" s="4" t="n"/>
      <c r="L716" s="2" t="n"/>
      <c r="N716" s="2" t="n"/>
    </row>
    <row r="717">
      <c r="D717" s="2" t="n"/>
      <c r="E717" s="3" t="n"/>
      <c r="F717" s="3" t="n"/>
      <c r="G717" s="3" t="n"/>
      <c r="H717" s="4" t="n"/>
      <c r="L717" s="2" t="n"/>
      <c r="N717" s="2" t="n"/>
    </row>
    <row r="718">
      <c r="D718" s="2" t="n"/>
      <c r="E718" s="3" t="n"/>
      <c r="F718" s="3" t="n"/>
      <c r="G718" s="3" t="n"/>
      <c r="H718" s="4" t="n"/>
      <c r="L718" s="2" t="n"/>
      <c r="N718" s="2" t="n"/>
    </row>
    <row r="719">
      <c r="D719" s="2" t="n"/>
      <c r="E719" s="3" t="n"/>
      <c r="F719" s="3" t="n"/>
      <c r="G719" s="3" t="n"/>
      <c r="H719" s="4" t="n"/>
      <c r="L719" s="2" t="n"/>
      <c r="N719" s="2" t="n"/>
    </row>
    <row r="720">
      <c r="D720" s="2" t="n"/>
      <c r="E720" s="3" t="n"/>
      <c r="F720" s="3" t="n"/>
      <c r="G720" s="3" t="n"/>
      <c r="H720" s="4" t="n"/>
      <c r="L720" s="2" t="n"/>
      <c r="N720" s="2" t="n"/>
    </row>
    <row r="721">
      <c r="D721" s="2" t="n"/>
      <c r="E721" s="3" t="n"/>
      <c r="F721" s="3" t="n"/>
      <c r="G721" s="3" t="n"/>
      <c r="H721" s="4" t="n"/>
      <c r="L721" s="2" t="n"/>
      <c r="N721" s="2" t="n"/>
    </row>
    <row r="722">
      <c r="D722" s="2" t="n"/>
      <c r="E722" s="3" t="n"/>
      <c r="F722" s="3" t="n"/>
      <c r="G722" s="3" t="n"/>
      <c r="H722" s="4" t="n"/>
      <c r="L722" s="2" t="n"/>
      <c r="N722" s="2" t="n"/>
    </row>
    <row r="723">
      <c r="D723" s="2" t="n"/>
      <c r="E723" s="3" t="n"/>
      <c r="F723" s="3" t="n"/>
      <c r="G723" s="3" t="n"/>
      <c r="H723" s="4" t="n"/>
      <c r="L723" s="2" t="n"/>
      <c r="N723" s="2" t="n"/>
    </row>
    <row r="724">
      <c r="D724" s="2" t="n"/>
      <c r="E724" s="3" t="n"/>
      <c r="F724" s="3" t="n"/>
      <c r="G724" s="3" t="n"/>
      <c r="H724" s="4" t="n"/>
      <c r="L724" s="2" t="n"/>
      <c r="N724" s="2" t="n"/>
    </row>
    <row r="725">
      <c r="D725" s="2" t="n"/>
      <c r="E725" s="3" t="n"/>
      <c r="F725" s="3" t="n"/>
      <c r="G725" s="3" t="n"/>
      <c r="H725" s="4" t="n"/>
      <c r="L725" s="2" t="n"/>
      <c r="N725" s="2" t="n"/>
    </row>
    <row r="726">
      <c r="D726" s="2" t="n"/>
      <c r="E726" s="3" t="n"/>
      <c r="F726" s="3" t="n"/>
      <c r="G726" s="3" t="n"/>
      <c r="H726" s="4" t="n"/>
      <c r="L726" s="2" t="n"/>
      <c r="N726" s="2" t="n"/>
    </row>
    <row r="727">
      <c r="D727" s="2" t="n"/>
      <c r="E727" s="3" t="n"/>
      <c r="F727" s="3" t="n"/>
      <c r="G727" s="3" t="n"/>
      <c r="H727" s="4" t="n"/>
      <c r="L727" s="2" t="n"/>
      <c r="N727" s="2" t="n"/>
    </row>
    <row r="728">
      <c r="D728" s="2" t="n"/>
      <c r="E728" s="3" t="n"/>
      <c r="F728" s="3" t="n"/>
      <c r="G728" s="3" t="n"/>
      <c r="H728" s="4" t="n"/>
      <c r="L728" s="2" t="n"/>
      <c r="N728" s="2" t="n"/>
    </row>
    <row r="729">
      <c r="D729" s="2" t="n"/>
      <c r="E729" s="3" t="n"/>
      <c r="F729" s="3" t="n"/>
      <c r="G729" s="3" t="n"/>
      <c r="H729" s="4" t="n"/>
      <c r="L729" s="2" t="n"/>
      <c r="N729" s="2" t="n"/>
    </row>
    <row r="730">
      <c r="D730" s="2" t="n"/>
      <c r="E730" s="3" t="n"/>
      <c r="F730" s="3" t="n"/>
      <c r="G730" s="3" t="n"/>
      <c r="H730" s="4" t="n"/>
      <c r="L730" s="2" t="n"/>
      <c r="N730" s="2" t="n"/>
    </row>
    <row r="731">
      <c r="D731" s="2" t="n"/>
      <c r="E731" s="3" t="n"/>
      <c r="F731" s="3" t="n"/>
      <c r="G731" s="3" t="n"/>
      <c r="H731" s="4" t="n"/>
      <c r="L731" s="2" t="n"/>
      <c r="N731" s="2" t="n"/>
    </row>
    <row r="732">
      <c r="D732" s="2" t="n"/>
      <c r="E732" s="3" t="n"/>
      <c r="F732" s="3" t="n"/>
      <c r="G732" s="3" t="n"/>
      <c r="H732" s="4" t="n"/>
      <c r="L732" s="2" t="n"/>
      <c r="N732" s="2" t="n"/>
    </row>
    <row r="733">
      <c r="D733" s="2" t="n"/>
      <c r="E733" s="3" t="n"/>
      <c r="F733" s="3" t="n"/>
      <c r="G733" s="3" t="n"/>
      <c r="H733" s="4" t="n"/>
      <c r="L733" s="2" t="n"/>
      <c r="N733" s="2" t="n"/>
    </row>
    <row r="734">
      <c r="D734" s="2" t="n"/>
      <c r="E734" s="3" t="n"/>
      <c r="F734" s="3" t="n"/>
      <c r="G734" s="3" t="n"/>
      <c r="H734" s="4" t="n"/>
      <c r="L734" s="2" t="n"/>
      <c r="N734" s="2" t="n"/>
    </row>
    <row r="735">
      <c r="D735" s="2" t="n"/>
      <c r="E735" s="3" t="n"/>
      <c r="F735" s="3" t="n"/>
      <c r="G735" s="3" t="n"/>
      <c r="H735" s="4" t="n"/>
      <c r="L735" s="2" t="n"/>
      <c r="N735" s="2" t="n"/>
    </row>
    <row r="736">
      <c r="D736" s="2" t="n"/>
      <c r="E736" s="3" t="n"/>
      <c r="F736" s="3" t="n"/>
      <c r="G736" s="3" t="n"/>
      <c r="H736" s="4" t="n"/>
      <c r="L736" s="2" t="n"/>
      <c r="N736" s="2" t="n"/>
    </row>
    <row r="737">
      <c r="D737" s="2" t="n"/>
      <c r="E737" s="3" t="n"/>
      <c r="F737" s="3" t="n"/>
      <c r="G737" s="3" t="n"/>
      <c r="H737" s="4" t="n"/>
      <c r="L737" s="2" t="n"/>
      <c r="N737" s="2" t="n"/>
    </row>
    <row r="738">
      <c r="D738" s="2" t="n"/>
      <c r="E738" s="3" t="n"/>
      <c r="F738" s="3" t="n"/>
      <c r="G738" s="3" t="n"/>
      <c r="H738" s="4" t="n"/>
      <c r="L738" s="2" t="n"/>
      <c r="N738" s="2" t="n"/>
    </row>
    <row r="739">
      <c r="D739" s="2" t="n"/>
      <c r="E739" s="3" t="n"/>
      <c r="F739" s="3" t="n"/>
      <c r="G739" s="3" t="n"/>
      <c r="H739" s="4" t="n"/>
      <c r="L739" s="2" t="n"/>
      <c r="N739" s="2" t="n"/>
    </row>
    <row r="740">
      <c r="D740" s="2" t="n"/>
      <c r="E740" s="3" t="n"/>
      <c r="F740" s="3" t="n"/>
      <c r="G740" s="3" t="n"/>
      <c r="H740" s="4" t="n"/>
      <c r="L740" s="2" t="n"/>
      <c r="N740" s="2" t="n"/>
    </row>
    <row r="741">
      <c r="D741" s="2" t="n"/>
      <c r="E741" s="3" t="n"/>
      <c r="F741" s="3" t="n"/>
      <c r="G741" s="3" t="n"/>
      <c r="H741" s="4" t="n"/>
      <c r="L741" s="2" t="n"/>
      <c r="N741" s="2" t="n"/>
    </row>
    <row r="742">
      <c r="D742" s="2" t="n"/>
      <c r="E742" s="3" t="n"/>
      <c r="F742" s="3" t="n"/>
      <c r="G742" s="3" t="n"/>
      <c r="H742" s="4" t="n"/>
      <c r="L742" s="2" t="n"/>
      <c r="N742" s="2" t="n"/>
    </row>
    <row r="743">
      <c r="D743" s="2" t="n"/>
      <c r="E743" s="3" t="n"/>
      <c r="F743" s="3" t="n"/>
      <c r="G743" s="3" t="n"/>
      <c r="H743" s="4" t="n"/>
      <c r="L743" s="2" t="n"/>
      <c r="N743" s="2" t="n"/>
    </row>
    <row r="744">
      <c r="D744" s="2" t="n"/>
      <c r="E744" s="3" t="n"/>
      <c r="F744" s="3" t="n"/>
      <c r="G744" s="3" t="n"/>
      <c r="H744" s="4" t="n"/>
      <c r="L744" s="2" t="n"/>
      <c r="N744" s="2" t="n"/>
    </row>
    <row r="745">
      <c r="D745" s="2" t="n"/>
      <c r="E745" s="3" t="n"/>
      <c r="F745" s="3" t="n"/>
      <c r="G745" s="3" t="n"/>
      <c r="H745" s="4" t="n"/>
      <c r="L745" s="2" t="n"/>
      <c r="N745" s="2" t="n"/>
    </row>
    <row r="746">
      <c r="D746" s="2" t="n"/>
      <c r="E746" s="3" t="n"/>
      <c r="F746" s="3" t="n"/>
      <c r="G746" s="3" t="n"/>
      <c r="H746" s="4" t="n"/>
      <c r="L746" s="2" t="n"/>
      <c r="N746" s="2" t="n"/>
    </row>
    <row r="747">
      <c r="D747" s="2" t="n"/>
      <c r="E747" s="3" t="n"/>
      <c r="F747" s="3" t="n"/>
      <c r="G747" s="3" t="n"/>
      <c r="H747" s="4" t="n"/>
      <c r="L747" s="2" t="n"/>
      <c r="N747" s="2" t="n"/>
    </row>
    <row r="748">
      <c r="D748" s="2" t="n"/>
      <c r="E748" s="3" t="n"/>
      <c r="F748" s="3" t="n"/>
      <c r="G748" s="3" t="n"/>
      <c r="H748" s="4" t="n"/>
      <c r="L748" s="2" t="n"/>
      <c r="N748" s="2" t="n"/>
    </row>
    <row r="749">
      <c r="D749" s="2" t="n"/>
      <c r="E749" s="3" t="n"/>
      <c r="F749" s="3" t="n"/>
      <c r="G749" s="3" t="n"/>
      <c r="H749" s="4" t="n"/>
      <c r="L749" s="2" t="n"/>
      <c r="N749" s="2" t="n"/>
    </row>
    <row r="750">
      <c r="D750" s="2" t="n"/>
      <c r="E750" s="3" t="n"/>
      <c r="F750" s="3" t="n"/>
      <c r="G750" s="3" t="n"/>
      <c r="H750" s="4" t="n"/>
      <c r="L750" s="2" t="n"/>
      <c r="N750" s="2" t="n"/>
    </row>
    <row r="751">
      <c r="D751" s="2" t="n"/>
      <c r="E751" s="3" t="n"/>
      <c r="F751" s="3" t="n"/>
      <c r="G751" s="3" t="n"/>
      <c r="H751" s="4" t="n"/>
      <c r="L751" s="2" t="n"/>
      <c r="N751" s="2" t="n"/>
    </row>
    <row r="752">
      <c r="D752" s="2" t="n"/>
      <c r="E752" s="3" t="n"/>
      <c r="F752" s="3" t="n"/>
      <c r="G752" s="3" t="n"/>
      <c r="H752" s="4" t="n"/>
      <c r="L752" s="2" t="n"/>
      <c r="N752" s="2" t="n"/>
    </row>
    <row r="753">
      <c r="D753" s="2" t="n"/>
      <c r="E753" s="3" t="n"/>
      <c r="F753" s="3" t="n"/>
      <c r="G753" s="3" t="n"/>
      <c r="H753" s="4" t="n"/>
      <c r="L753" s="2" t="n"/>
      <c r="N753" s="2" t="n"/>
    </row>
    <row r="754">
      <c r="D754" s="2" t="n"/>
      <c r="E754" s="3" t="n"/>
      <c r="F754" s="3" t="n"/>
      <c r="G754" s="3" t="n"/>
      <c r="H754" s="4" t="n"/>
      <c r="L754" s="2" t="n"/>
      <c r="N754" s="2" t="n"/>
    </row>
    <row r="755">
      <c r="D755" s="2" t="n"/>
      <c r="E755" s="3" t="n"/>
      <c r="F755" s="3" t="n"/>
      <c r="G755" s="3" t="n"/>
      <c r="H755" s="4" t="n"/>
      <c r="L755" s="2" t="n"/>
      <c r="N755" s="2" t="n"/>
    </row>
    <row r="756">
      <c r="D756" s="2" t="n"/>
      <c r="E756" s="3" t="n"/>
      <c r="F756" s="3" t="n"/>
      <c r="G756" s="3" t="n"/>
      <c r="H756" s="4" t="n"/>
      <c r="L756" s="2" t="n"/>
      <c r="N756" s="2" t="n"/>
    </row>
    <row r="757">
      <c r="D757" s="2" t="n"/>
      <c r="E757" s="3" t="n"/>
      <c r="F757" s="3" t="n"/>
      <c r="G757" s="3" t="n"/>
      <c r="H757" s="4" t="n"/>
      <c r="L757" s="2" t="n"/>
      <c r="N757" s="2" t="n"/>
    </row>
    <row r="758">
      <c r="D758" s="2" t="n"/>
      <c r="E758" s="3" t="n"/>
      <c r="F758" s="3" t="n"/>
      <c r="G758" s="3" t="n"/>
      <c r="H758" s="4" t="n"/>
      <c r="L758" s="2" t="n"/>
      <c r="N758" s="2" t="n"/>
    </row>
    <row r="759">
      <c r="D759" s="2" t="n"/>
      <c r="E759" s="3" t="n"/>
      <c r="F759" s="3" t="n"/>
      <c r="G759" s="3" t="n"/>
      <c r="H759" s="4" t="n"/>
      <c r="L759" s="2" t="n"/>
      <c r="N759" s="2" t="n"/>
    </row>
    <row r="760">
      <c r="D760" s="2" t="n"/>
      <c r="E760" s="3" t="n"/>
      <c r="F760" s="3" t="n"/>
      <c r="G760" s="3" t="n"/>
      <c r="H760" s="4" t="n"/>
      <c r="L760" s="2" t="n"/>
      <c r="N760" s="2" t="n"/>
    </row>
    <row r="761">
      <c r="D761" s="2" t="n"/>
      <c r="E761" s="3" t="n"/>
      <c r="F761" s="3" t="n"/>
      <c r="G761" s="3" t="n"/>
      <c r="H761" s="4" t="n"/>
      <c r="L761" s="2" t="n"/>
      <c r="N761" s="2" t="n"/>
    </row>
    <row r="762">
      <c r="D762" s="2" t="n"/>
      <c r="E762" s="3" t="n"/>
      <c r="F762" s="3" t="n"/>
      <c r="G762" s="3" t="n"/>
      <c r="H762" s="4" t="n"/>
      <c r="L762" s="2" t="n"/>
      <c r="N762" s="2" t="n"/>
    </row>
    <row r="763">
      <c r="D763" s="2" t="n"/>
      <c r="E763" s="3" t="n"/>
      <c r="F763" s="3" t="n"/>
      <c r="G763" s="3" t="n"/>
      <c r="H763" s="4" t="n"/>
      <c r="L763" s="2" t="n"/>
      <c r="N763" s="2" t="n"/>
    </row>
    <row r="764">
      <c r="D764" s="2" t="n"/>
      <c r="E764" s="3" t="n"/>
      <c r="F764" s="3" t="n"/>
      <c r="G764" s="3" t="n"/>
      <c r="H764" s="4" t="n"/>
      <c r="L764" s="2" t="n"/>
      <c r="N764" s="2" t="n"/>
    </row>
    <row r="765">
      <c r="D765" s="2" t="n"/>
      <c r="E765" s="3" t="n"/>
      <c r="F765" s="3" t="n"/>
      <c r="G765" s="3" t="n"/>
      <c r="H765" s="4" t="n"/>
      <c r="L765" s="2" t="n"/>
      <c r="N765" s="2" t="n"/>
    </row>
    <row r="766">
      <c r="D766" s="2" t="n"/>
      <c r="E766" s="3" t="n"/>
      <c r="F766" s="3" t="n"/>
      <c r="G766" s="3" t="n"/>
      <c r="H766" s="4" t="n"/>
      <c r="L766" s="2" t="n"/>
      <c r="N766" s="2" t="n"/>
    </row>
    <row r="767">
      <c r="D767" s="2" t="n"/>
      <c r="E767" s="3" t="n"/>
      <c r="F767" s="3" t="n"/>
      <c r="G767" s="3" t="n"/>
      <c r="H767" s="4" t="n"/>
      <c r="L767" s="2" t="n"/>
      <c r="N767" s="2" t="n"/>
    </row>
    <row r="768">
      <c r="D768" s="2" t="n"/>
      <c r="E768" s="3" t="n"/>
      <c r="F768" s="3" t="n"/>
      <c r="G768" s="3" t="n"/>
      <c r="H768" s="4" t="n"/>
      <c r="L768" s="2" t="n"/>
      <c r="N768" s="2" t="n"/>
    </row>
    <row r="769">
      <c r="D769" s="2" t="n"/>
      <c r="E769" s="3" t="n"/>
      <c r="F769" s="3" t="n"/>
      <c r="G769" s="3" t="n"/>
      <c r="H769" s="4" t="n"/>
      <c r="L769" s="2" t="n"/>
      <c r="N769" s="2" t="n"/>
    </row>
    <row r="770">
      <c r="D770" s="2" t="n"/>
      <c r="E770" s="3" t="n"/>
      <c r="F770" s="3" t="n"/>
      <c r="G770" s="3" t="n"/>
      <c r="H770" s="4" t="n"/>
      <c r="L770" s="2" t="n"/>
      <c r="N770" s="2" t="n"/>
    </row>
    <row r="771">
      <c r="D771" s="2" t="n"/>
      <c r="E771" s="3" t="n"/>
      <c r="F771" s="3" t="n"/>
      <c r="G771" s="3" t="n"/>
      <c r="H771" s="4" t="n"/>
      <c r="L771" s="2" t="n"/>
      <c r="N771" s="2" t="n"/>
    </row>
    <row r="772">
      <c r="D772" s="2" t="n"/>
      <c r="E772" s="3" t="n"/>
      <c r="F772" s="3" t="n"/>
      <c r="G772" s="3" t="n"/>
      <c r="H772" s="4" t="n"/>
      <c r="L772" s="2" t="n"/>
      <c r="N772" s="2" t="n"/>
    </row>
    <row r="773">
      <c r="D773" s="2" t="n"/>
      <c r="E773" s="3" t="n"/>
      <c r="F773" s="3" t="n"/>
      <c r="G773" s="3" t="n"/>
      <c r="H773" s="4" t="n"/>
      <c r="L773" s="2" t="n"/>
      <c r="N773" s="2" t="n"/>
    </row>
    <row r="774">
      <c r="D774" s="2" t="n"/>
      <c r="E774" s="3" t="n"/>
      <c r="F774" s="3" t="n"/>
      <c r="G774" s="3" t="n"/>
      <c r="H774" s="4" t="n"/>
      <c r="L774" s="2" t="n"/>
      <c r="N774" s="2" t="n"/>
    </row>
    <row r="775">
      <c r="D775" s="2" t="n"/>
      <c r="E775" s="3" t="n"/>
      <c r="F775" s="3" t="n"/>
      <c r="G775" s="3" t="n"/>
      <c r="H775" s="4" t="n"/>
      <c r="L775" s="2" t="n"/>
      <c r="N775" s="2" t="n"/>
    </row>
    <row r="776">
      <c r="D776" s="2" t="n"/>
      <c r="E776" s="3" t="n"/>
      <c r="F776" s="3" t="n"/>
      <c r="G776" s="3" t="n"/>
      <c r="H776" s="4" t="n"/>
      <c r="L776" s="2" t="n"/>
      <c r="N776" s="2" t="n"/>
    </row>
    <row r="777">
      <c r="D777" s="2" t="n"/>
      <c r="E777" s="3" t="n"/>
      <c r="F777" s="3" t="n"/>
      <c r="G777" s="3" t="n"/>
      <c r="H777" s="4" t="n"/>
      <c r="L777" s="2" t="n"/>
      <c r="N777" s="2" t="n"/>
    </row>
    <row r="778">
      <c r="D778" s="2" t="n"/>
      <c r="E778" s="3" t="n"/>
      <c r="F778" s="3" t="n"/>
      <c r="G778" s="3" t="n"/>
      <c r="H778" s="4" t="n"/>
      <c r="L778" s="2" t="n"/>
      <c r="N778" s="2" t="n"/>
    </row>
    <row r="779">
      <c r="D779" s="2" t="n"/>
      <c r="E779" s="3" t="n"/>
      <c r="F779" s="3" t="n"/>
      <c r="G779" s="3" t="n"/>
      <c r="H779" s="4" t="n"/>
      <c r="L779" s="2" t="n"/>
      <c r="N779" s="2" t="n"/>
    </row>
    <row r="780">
      <c r="D780" s="2" t="n"/>
      <c r="E780" s="3" t="n"/>
      <c r="F780" s="3" t="n"/>
      <c r="G780" s="3" t="n"/>
      <c r="H780" s="4" t="n"/>
      <c r="L780" s="2" t="n"/>
      <c r="N780" s="2" t="n"/>
    </row>
    <row r="781">
      <c r="D781" s="2" t="n"/>
      <c r="E781" s="3" t="n"/>
      <c r="F781" s="3" t="n"/>
      <c r="G781" s="3" t="n"/>
      <c r="H781" s="4" t="n"/>
      <c r="L781" s="2" t="n"/>
      <c r="N781" s="2" t="n"/>
    </row>
    <row r="782">
      <c r="D782" s="2" t="n"/>
      <c r="E782" s="3" t="n"/>
      <c r="F782" s="3" t="n"/>
      <c r="G782" s="3" t="n"/>
      <c r="H782" s="4" t="n"/>
      <c r="L782" s="2" t="n"/>
      <c r="N782" s="2" t="n"/>
    </row>
    <row r="783">
      <c r="D783" s="2" t="n"/>
      <c r="E783" s="3" t="n"/>
      <c r="F783" s="3" t="n"/>
      <c r="G783" s="3" t="n"/>
      <c r="H783" s="4" t="n"/>
      <c r="L783" s="2" t="n"/>
      <c r="N783" s="2" t="n"/>
    </row>
    <row r="784">
      <c r="D784" s="2" t="n"/>
      <c r="E784" s="3" t="n"/>
      <c r="F784" s="3" t="n"/>
      <c r="G784" s="3" t="n"/>
      <c r="H784" s="4" t="n"/>
      <c r="L784" s="2" t="n"/>
      <c r="N784" s="2" t="n"/>
    </row>
    <row r="785">
      <c r="D785" s="2" t="n"/>
      <c r="E785" s="3" t="n"/>
      <c r="F785" s="3" t="n"/>
      <c r="G785" s="3" t="n"/>
      <c r="H785" s="4" t="n"/>
      <c r="L785" s="2" t="n"/>
      <c r="N785" s="2" t="n"/>
    </row>
    <row r="786">
      <c r="D786" s="2" t="n"/>
      <c r="E786" s="3" t="n"/>
      <c r="F786" s="3" t="n"/>
      <c r="G786" s="3" t="n"/>
      <c r="H786" s="4" t="n"/>
      <c r="L786" s="2" t="n"/>
      <c r="N786" s="2" t="n"/>
    </row>
    <row r="787">
      <c r="D787" s="2" t="n"/>
      <c r="E787" s="3" t="n"/>
      <c r="F787" s="3" t="n"/>
      <c r="G787" s="3" t="n"/>
      <c r="H787" s="4" t="n"/>
      <c r="L787" s="2" t="n"/>
      <c r="N787" s="2" t="n"/>
    </row>
    <row r="788">
      <c r="D788" s="2" t="n"/>
      <c r="E788" s="3" t="n"/>
      <c r="F788" s="3" t="n"/>
      <c r="G788" s="3" t="n"/>
      <c r="H788" s="4" t="n"/>
      <c r="L788" s="2" t="n"/>
      <c r="N788" s="2" t="n"/>
    </row>
    <row r="789">
      <c r="D789" s="2" t="n"/>
      <c r="E789" s="3" t="n"/>
      <c r="F789" s="3" t="n"/>
      <c r="G789" s="3" t="n"/>
      <c r="H789" s="4" t="n"/>
      <c r="L789" s="2" t="n"/>
      <c r="N789" s="2" t="n"/>
    </row>
    <row r="790">
      <c r="D790" s="2" t="n"/>
      <c r="E790" s="3" t="n"/>
      <c r="F790" s="3" t="n"/>
      <c r="G790" s="3" t="n"/>
      <c r="H790" s="4" t="n"/>
      <c r="L790" s="2" t="n"/>
      <c r="N790" s="2" t="n"/>
    </row>
    <row r="791">
      <c r="D791" s="2" t="n"/>
      <c r="E791" s="3" t="n"/>
      <c r="F791" s="3" t="n"/>
      <c r="G791" s="3" t="n"/>
      <c r="H791" s="4" t="n"/>
      <c r="L791" s="2" t="n"/>
      <c r="N791" s="2" t="n"/>
    </row>
    <row r="792">
      <c r="D792" s="2" t="n"/>
      <c r="E792" s="3" t="n"/>
      <c r="F792" s="3" t="n"/>
      <c r="G792" s="3" t="n"/>
      <c r="H792" s="4" t="n"/>
      <c r="L792" s="2" t="n"/>
      <c r="N792" s="2" t="n"/>
    </row>
    <row r="793">
      <c r="D793" s="2" t="n"/>
      <c r="E793" s="3" t="n"/>
      <c r="F793" s="3" t="n"/>
      <c r="G793" s="3" t="n"/>
      <c r="H793" s="4" t="n"/>
      <c r="L793" s="2" t="n"/>
      <c r="N793" s="2" t="n"/>
    </row>
    <row r="794">
      <c r="D794" s="2" t="n"/>
      <c r="E794" s="3" t="n"/>
      <c r="F794" s="3" t="n"/>
      <c r="G794" s="3" t="n"/>
      <c r="H794" s="4" t="n"/>
      <c r="L794" s="2" t="n"/>
      <c r="N794" s="2" t="n"/>
    </row>
    <row r="795">
      <c r="D795" s="2" t="n"/>
      <c r="E795" s="3" t="n"/>
      <c r="F795" s="3" t="n"/>
      <c r="G795" s="3" t="n"/>
      <c r="H795" s="4" t="n"/>
      <c r="L795" s="2" t="n"/>
      <c r="N795" s="2" t="n"/>
    </row>
    <row r="796">
      <c r="D796" s="2" t="n"/>
      <c r="E796" s="3" t="n"/>
      <c r="F796" s="3" t="n"/>
      <c r="G796" s="3" t="n"/>
      <c r="H796" s="4" t="n"/>
      <c r="L796" s="2" t="n"/>
      <c r="N796" s="2" t="n"/>
    </row>
    <row r="797">
      <c r="D797" s="2" t="n"/>
      <c r="E797" s="3" t="n"/>
      <c r="F797" s="3" t="n"/>
      <c r="G797" s="3" t="n"/>
      <c r="H797" s="4" t="n"/>
      <c r="L797" s="2" t="n"/>
      <c r="N797" s="2" t="n"/>
    </row>
    <row r="798">
      <c r="D798" s="2" t="n"/>
      <c r="E798" s="3" t="n"/>
      <c r="F798" s="3" t="n"/>
      <c r="G798" s="3" t="n"/>
      <c r="H798" s="4" t="n"/>
      <c r="L798" s="2" t="n"/>
      <c r="N798" s="2" t="n"/>
    </row>
    <row r="799">
      <c r="D799" s="2" t="n"/>
      <c r="E799" s="3" t="n"/>
      <c r="F799" s="3" t="n"/>
      <c r="G799" s="3" t="n"/>
      <c r="H799" s="4" t="n"/>
      <c r="L799" s="2" t="n"/>
      <c r="N799" s="2" t="n"/>
    </row>
    <row r="800">
      <c r="D800" s="2" t="n"/>
      <c r="E800" s="3" t="n"/>
      <c r="F800" s="3" t="n"/>
      <c r="G800" s="3" t="n"/>
      <c r="H800" s="4" t="n"/>
      <c r="L800" s="2" t="n"/>
      <c r="N800" s="2" t="n"/>
    </row>
    <row r="801">
      <c r="D801" s="2" t="n"/>
      <c r="E801" s="3" t="n"/>
      <c r="F801" s="3" t="n"/>
      <c r="G801" s="3" t="n"/>
      <c r="H801" s="4" t="n"/>
      <c r="L801" s="2" t="n"/>
      <c r="N801" s="2" t="n"/>
    </row>
    <row r="802">
      <c r="D802" s="2" t="n"/>
      <c r="E802" s="3" t="n"/>
      <c r="F802" s="3" t="n"/>
      <c r="G802" s="3" t="n"/>
      <c r="H802" s="4" t="n"/>
      <c r="L802" s="2" t="n"/>
      <c r="N802" s="2" t="n"/>
    </row>
    <row r="803">
      <c r="D803" s="2" t="n"/>
      <c r="E803" s="3" t="n"/>
      <c r="F803" s="3" t="n"/>
      <c r="G803" s="3" t="n"/>
      <c r="H803" s="4" t="n"/>
      <c r="L803" s="2" t="n"/>
      <c r="N803" s="2" t="n"/>
    </row>
    <row r="804">
      <c r="D804" s="2" t="n"/>
      <c r="E804" s="3" t="n"/>
      <c r="F804" s="3" t="n"/>
      <c r="G804" s="3" t="n"/>
      <c r="H804" s="4" t="n"/>
      <c r="L804" s="2" t="n"/>
      <c r="N804" s="2" t="n"/>
    </row>
    <row r="805">
      <c r="D805" s="2" t="n"/>
      <c r="E805" s="3" t="n"/>
      <c r="F805" s="3" t="n"/>
      <c r="G805" s="3" t="n"/>
      <c r="H805" s="4" t="n"/>
      <c r="L805" s="2" t="n"/>
      <c r="N805" s="2" t="n"/>
    </row>
    <row r="806">
      <c r="D806" s="2" t="n"/>
      <c r="E806" s="3" t="n"/>
      <c r="F806" s="3" t="n"/>
      <c r="G806" s="3" t="n"/>
      <c r="H806" s="4" t="n"/>
      <c r="L806" s="2" t="n"/>
      <c r="N806" s="2" t="n"/>
    </row>
    <row r="807">
      <c r="D807" s="2" t="n"/>
      <c r="E807" s="3" t="n"/>
      <c r="F807" s="3" t="n"/>
      <c r="G807" s="3" t="n"/>
      <c r="H807" s="4" t="n"/>
      <c r="L807" s="2" t="n"/>
      <c r="N807" s="2" t="n"/>
    </row>
    <row r="808">
      <c r="D808" s="2" t="n"/>
      <c r="E808" s="3" t="n"/>
      <c r="F808" s="3" t="n"/>
      <c r="G808" s="3" t="n"/>
      <c r="H808" s="4" t="n"/>
      <c r="L808" s="2" t="n"/>
      <c r="N808" s="2" t="n"/>
    </row>
    <row r="809">
      <c r="D809" s="2" t="n"/>
      <c r="E809" s="3" t="n"/>
      <c r="F809" s="3" t="n"/>
      <c r="G809" s="3" t="n"/>
      <c r="H809" s="4" t="n"/>
      <c r="L809" s="2" t="n"/>
      <c r="N809" s="2" t="n"/>
    </row>
    <row r="810">
      <c r="D810" s="2" t="n"/>
      <c r="E810" s="3" t="n"/>
      <c r="F810" s="3" t="n"/>
      <c r="G810" s="3" t="n"/>
      <c r="H810" s="4" t="n"/>
      <c r="L810" s="2" t="n"/>
      <c r="N810" s="2" t="n"/>
    </row>
    <row r="811">
      <c r="D811" s="2" t="n"/>
      <c r="E811" s="3" t="n"/>
      <c r="F811" s="3" t="n"/>
      <c r="G811" s="3" t="n"/>
      <c r="H811" s="4" t="n"/>
      <c r="L811" s="2" t="n"/>
      <c r="N811" s="2" t="n"/>
    </row>
    <row r="812">
      <c r="D812" s="2" t="n"/>
      <c r="E812" s="3" t="n"/>
      <c r="F812" s="3" t="n"/>
      <c r="G812" s="3" t="n"/>
      <c r="H812" s="4" t="n"/>
      <c r="L812" s="2" t="n"/>
      <c r="N812" s="2" t="n"/>
    </row>
    <row r="813">
      <c r="D813" s="2" t="n"/>
      <c r="E813" s="3" t="n"/>
      <c r="F813" s="3" t="n"/>
      <c r="G813" s="3" t="n"/>
      <c r="H813" s="4" t="n"/>
      <c r="L813" s="2" t="n"/>
      <c r="N813" s="2" t="n"/>
    </row>
    <row r="814">
      <c r="D814" s="2" t="n"/>
      <c r="E814" s="3" t="n"/>
      <c r="F814" s="3" t="n"/>
      <c r="G814" s="3" t="n"/>
      <c r="H814" s="4" t="n"/>
      <c r="L814" s="2" t="n"/>
      <c r="N814" s="2" t="n"/>
    </row>
    <row r="815">
      <c r="D815" s="2" t="n"/>
      <c r="E815" s="3" t="n"/>
      <c r="F815" s="3" t="n"/>
      <c r="G815" s="3" t="n"/>
      <c r="H815" s="4" t="n"/>
      <c r="L815" s="2" t="n"/>
      <c r="N815" s="2" t="n"/>
    </row>
    <row r="816">
      <c r="D816" s="2" t="n"/>
      <c r="E816" s="3" t="n"/>
      <c r="F816" s="3" t="n"/>
      <c r="G816" s="3" t="n"/>
      <c r="H816" s="4" t="n"/>
      <c r="L816" s="2" t="n"/>
      <c r="N816" s="2" t="n"/>
    </row>
    <row r="817">
      <c r="D817" s="2" t="n"/>
      <c r="E817" s="3" t="n"/>
      <c r="F817" s="3" t="n"/>
      <c r="G817" s="3" t="n"/>
      <c r="H817" s="4" t="n"/>
      <c r="L817" s="2" t="n"/>
      <c r="N817" s="2" t="n"/>
    </row>
    <row r="818">
      <c r="D818" s="2" t="n"/>
      <c r="E818" s="3" t="n"/>
      <c r="F818" s="3" t="n"/>
      <c r="G818" s="3" t="n"/>
      <c r="H818" s="4" t="n"/>
      <c r="L818" s="2" t="n"/>
      <c r="N818" s="2" t="n"/>
    </row>
    <row r="819">
      <c r="D819" s="2" t="n"/>
      <c r="E819" s="3" t="n"/>
      <c r="F819" s="3" t="n"/>
      <c r="G819" s="3" t="n"/>
      <c r="H819" s="4" t="n"/>
      <c r="L819" s="2" t="n"/>
      <c r="N819" s="2" t="n"/>
    </row>
    <row r="820">
      <c r="D820" s="2" t="n"/>
      <c r="E820" s="3" t="n"/>
      <c r="F820" s="3" t="n"/>
      <c r="G820" s="3" t="n"/>
      <c r="H820" s="4" t="n"/>
      <c r="L820" s="2" t="n"/>
      <c r="N820" s="2" t="n"/>
    </row>
    <row r="821">
      <c r="D821" s="2" t="n"/>
      <c r="E821" s="3" t="n"/>
      <c r="F821" s="3" t="n"/>
      <c r="G821" s="3" t="n"/>
      <c r="H821" s="4" t="n"/>
      <c r="L821" s="2" t="n"/>
      <c r="N821" s="2" t="n"/>
    </row>
    <row r="822">
      <c r="D822" s="2" t="n"/>
      <c r="E822" s="3" t="n"/>
      <c r="F822" s="3" t="n"/>
      <c r="G822" s="3" t="n"/>
      <c r="H822" s="4" t="n"/>
      <c r="L822" s="2" t="n"/>
      <c r="N822" s="2" t="n"/>
    </row>
    <row r="823">
      <c r="D823" s="2" t="n"/>
      <c r="E823" s="3" t="n"/>
      <c r="F823" s="3" t="n"/>
      <c r="G823" s="3" t="n"/>
      <c r="H823" s="4" t="n"/>
      <c r="L823" s="2" t="n"/>
      <c r="N823" s="2" t="n"/>
    </row>
    <row r="824">
      <c r="D824" s="2" t="n"/>
      <c r="E824" s="3" t="n"/>
      <c r="F824" s="3" t="n"/>
      <c r="G824" s="3" t="n"/>
      <c r="H824" s="4" t="n"/>
      <c r="L824" s="2" t="n"/>
      <c r="N824" s="2" t="n"/>
    </row>
    <row r="825">
      <c r="D825" s="2" t="n"/>
      <c r="E825" s="3" t="n"/>
      <c r="F825" s="3" t="n"/>
      <c r="G825" s="3" t="n"/>
      <c r="H825" s="4" t="n"/>
      <c r="L825" s="2" t="n"/>
      <c r="N825" s="2" t="n"/>
    </row>
    <row r="826">
      <c r="D826" s="2" t="n"/>
      <c r="E826" s="3" t="n"/>
      <c r="F826" s="3" t="n"/>
      <c r="G826" s="3" t="n"/>
      <c r="H826" s="4" t="n"/>
      <c r="L826" s="2" t="n"/>
      <c r="N826" s="2" t="n"/>
    </row>
    <row r="827">
      <c r="D827" s="2" t="n"/>
      <c r="E827" s="3" t="n"/>
      <c r="F827" s="3" t="n"/>
      <c r="G827" s="3" t="n"/>
      <c r="H827" s="4" t="n"/>
      <c r="L827" s="2" t="n"/>
      <c r="N827" s="2" t="n"/>
    </row>
    <row r="828">
      <c r="D828" s="2" t="n"/>
      <c r="E828" s="3" t="n"/>
      <c r="F828" s="3" t="n"/>
      <c r="G828" s="3" t="n"/>
      <c r="H828" s="4" t="n"/>
      <c r="L828" s="2" t="n"/>
      <c r="N828" s="2" t="n"/>
    </row>
    <row r="829">
      <c r="D829" s="2" t="n"/>
      <c r="E829" s="3" t="n"/>
      <c r="F829" s="3" t="n"/>
      <c r="G829" s="3" t="n"/>
      <c r="H829" s="4" t="n"/>
      <c r="L829" s="2" t="n"/>
      <c r="N829" s="2" t="n"/>
    </row>
    <row r="830">
      <c r="D830" s="2" t="n"/>
      <c r="E830" s="3" t="n"/>
      <c r="F830" s="3" t="n"/>
      <c r="G830" s="3" t="n"/>
      <c r="H830" s="4" t="n"/>
      <c r="L830" s="2" t="n"/>
      <c r="N830" s="2" t="n"/>
    </row>
    <row r="831">
      <c r="D831" s="2" t="n"/>
      <c r="E831" s="3" t="n"/>
      <c r="F831" s="3" t="n"/>
      <c r="G831" s="3" t="n"/>
      <c r="H831" s="4" t="n"/>
      <c r="L831" s="2" t="n"/>
      <c r="N831" s="2" t="n"/>
    </row>
    <row r="832">
      <c r="D832" s="2" t="n"/>
      <c r="E832" s="3" t="n"/>
      <c r="F832" s="3" t="n"/>
      <c r="G832" s="3" t="n"/>
      <c r="H832" s="4" t="n"/>
      <c r="L832" s="2" t="n"/>
      <c r="N832" s="2" t="n"/>
    </row>
    <row r="833">
      <c r="D833" s="2" t="n"/>
      <c r="E833" s="3" t="n"/>
      <c r="F833" s="3" t="n"/>
      <c r="G833" s="3" t="n"/>
      <c r="H833" s="4" t="n"/>
      <c r="L833" s="2" t="n"/>
      <c r="N833" s="2" t="n"/>
    </row>
    <row r="834">
      <c r="D834" s="2" t="n"/>
      <c r="E834" s="3" t="n"/>
      <c r="F834" s="3" t="n"/>
      <c r="G834" s="3" t="n"/>
      <c r="H834" s="4" t="n"/>
      <c r="L834" s="2" t="n"/>
      <c r="N834" s="2" t="n"/>
    </row>
    <row r="835">
      <c r="D835" s="2" t="n"/>
      <c r="E835" s="3" t="n"/>
      <c r="F835" s="3" t="n"/>
      <c r="G835" s="3" t="n"/>
      <c r="H835" s="4" t="n"/>
      <c r="L835" s="2" t="n"/>
      <c r="N835" s="2" t="n"/>
    </row>
    <row r="836">
      <c r="D836" s="2" t="n"/>
      <c r="E836" s="3" t="n"/>
      <c r="F836" s="3" t="n"/>
      <c r="G836" s="3" t="n"/>
      <c r="H836" s="4" t="n"/>
      <c r="L836" s="2" t="n"/>
      <c r="N836" s="2" t="n"/>
    </row>
    <row r="837">
      <c r="D837" s="2" t="n"/>
      <c r="E837" s="3" t="n"/>
      <c r="F837" s="3" t="n"/>
      <c r="G837" s="3" t="n"/>
      <c r="H837" s="4" t="n"/>
      <c r="L837" s="2" t="n"/>
      <c r="N837" s="2" t="n"/>
    </row>
    <row r="838">
      <c r="D838" s="2" t="n"/>
      <c r="E838" s="3" t="n"/>
      <c r="F838" s="3" t="n"/>
      <c r="G838" s="3" t="n"/>
      <c r="H838" s="4" t="n"/>
      <c r="L838" s="2" t="n"/>
      <c r="N838" s="2" t="n"/>
    </row>
    <row r="839">
      <c r="D839" s="2" t="n"/>
      <c r="E839" s="3" t="n"/>
      <c r="F839" s="3" t="n"/>
      <c r="G839" s="3" t="n"/>
      <c r="H839" s="4" t="n"/>
      <c r="L839" s="2" t="n"/>
      <c r="N839" s="2" t="n"/>
    </row>
    <row r="840">
      <c r="D840" s="2" t="n"/>
      <c r="E840" s="3" t="n"/>
      <c r="F840" s="3" t="n"/>
      <c r="G840" s="3" t="n"/>
      <c r="H840" s="4" t="n"/>
      <c r="L840" s="2" t="n"/>
      <c r="N840" s="2" t="n"/>
    </row>
    <row r="841">
      <c r="D841" s="2" t="n"/>
      <c r="E841" s="3" t="n"/>
      <c r="F841" s="3" t="n"/>
      <c r="G841" s="3" t="n"/>
      <c r="H841" s="4" t="n"/>
      <c r="L841" s="2" t="n"/>
      <c r="N841" s="2" t="n"/>
    </row>
    <row r="842">
      <c r="D842" s="2" t="n"/>
      <c r="E842" s="3" t="n"/>
      <c r="F842" s="3" t="n"/>
      <c r="G842" s="3" t="n"/>
      <c r="H842" s="4" t="n"/>
      <c r="L842" s="2" t="n"/>
      <c r="N842" s="2" t="n"/>
    </row>
    <row r="843">
      <c r="D843" s="2" t="n"/>
      <c r="E843" s="3" t="n"/>
      <c r="F843" s="3" t="n"/>
      <c r="G843" s="3" t="n"/>
      <c r="H843" s="4" t="n"/>
      <c r="L843" s="2" t="n"/>
      <c r="N843" s="2" t="n"/>
    </row>
    <row r="844">
      <c r="D844" s="2" t="n"/>
      <c r="E844" s="3" t="n"/>
      <c r="F844" s="3" t="n"/>
      <c r="G844" s="3" t="n"/>
      <c r="H844" s="4" t="n"/>
      <c r="L844" s="2" t="n"/>
      <c r="N844" s="2" t="n"/>
    </row>
    <row r="845">
      <c r="D845" s="2" t="n"/>
      <c r="E845" s="3" t="n"/>
      <c r="F845" s="3" t="n"/>
      <c r="G845" s="3" t="n"/>
      <c r="H845" s="4" t="n"/>
      <c r="L845" s="2" t="n"/>
      <c r="N845" s="2" t="n"/>
    </row>
    <row r="846">
      <c r="D846" s="2" t="n"/>
      <c r="E846" s="3" t="n"/>
      <c r="F846" s="3" t="n"/>
      <c r="G846" s="3" t="n"/>
      <c r="H846" s="4" t="n"/>
      <c r="L846" s="2" t="n"/>
      <c r="N846" s="2" t="n"/>
    </row>
    <row r="847">
      <c r="D847" s="2" t="n"/>
      <c r="E847" s="3" t="n"/>
      <c r="F847" s="3" t="n"/>
      <c r="G847" s="3" t="n"/>
      <c r="H847" s="4" t="n"/>
      <c r="L847" s="2" t="n"/>
      <c r="N847" s="2" t="n"/>
    </row>
    <row r="848">
      <c r="D848" s="2" t="n"/>
      <c r="E848" s="3" t="n"/>
      <c r="F848" s="3" t="n"/>
      <c r="G848" s="3" t="n"/>
      <c r="H848" s="4" t="n"/>
      <c r="L848" s="2" t="n"/>
      <c r="N848" s="2" t="n"/>
    </row>
    <row r="849">
      <c r="D849" s="2" t="n"/>
      <c r="E849" s="3" t="n"/>
      <c r="F849" s="3" t="n"/>
      <c r="G849" s="3" t="n"/>
      <c r="H849" s="4" t="n"/>
      <c r="L849" s="2" t="n"/>
      <c r="N849" s="2" t="n"/>
    </row>
    <row r="850">
      <c r="D850" s="2" t="n"/>
      <c r="E850" s="3" t="n"/>
      <c r="F850" s="3" t="n"/>
      <c r="G850" s="3" t="n"/>
      <c r="H850" s="4" t="n"/>
      <c r="L850" s="2" t="n"/>
      <c r="N850" s="2" t="n"/>
    </row>
    <row r="851">
      <c r="D851" s="2" t="n"/>
      <c r="E851" s="3" t="n"/>
      <c r="F851" s="3" t="n"/>
      <c r="G851" s="3" t="n"/>
      <c r="H851" s="4" t="n"/>
      <c r="L851" s="2" t="n"/>
      <c r="N851" s="2" t="n"/>
    </row>
    <row r="852">
      <c r="D852" s="2" t="n"/>
      <c r="E852" s="3" t="n"/>
      <c r="F852" s="3" t="n"/>
      <c r="G852" s="3" t="n"/>
      <c r="H852" s="4" t="n"/>
      <c r="L852" s="2" t="n"/>
      <c r="N852" s="2" t="n"/>
    </row>
    <row r="853">
      <c r="D853" s="2" t="n"/>
      <c r="E853" s="3" t="n"/>
      <c r="F853" s="3" t="n"/>
      <c r="G853" s="3" t="n"/>
      <c r="H853" s="4" t="n"/>
      <c r="L853" s="2" t="n"/>
      <c r="N853" s="2" t="n"/>
    </row>
    <row r="854">
      <c r="D854" s="2" t="n"/>
      <c r="E854" s="3" t="n"/>
      <c r="F854" s="3" t="n"/>
      <c r="G854" s="3" t="n"/>
      <c r="H854" s="4" t="n"/>
      <c r="L854" s="2" t="n"/>
      <c r="N854" s="2" t="n"/>
    </row>
    <row r="855">
      <c r="D855" s="2" t="n"/>
      <c r="E855" s="3" t="n"/>
      <c r="F855" s="3" t="n"/>
      <c r="G855" s="3" t="n"/>
      <c r="H855" s="4" t="n"/>
      <c r="L855" s="2" t="n"/>
      <c r="N855" s="2" t="n"/>
    </row>
    <row r="856">
      <c r="D856" s="2" t="n"/>
      <c r="E856" s="3" t="n"/>
      <c r="F856" s="3" t="n"/>
      <c r="G856" s="3" t="n"/>
      <c r="H856" s="4" t="n"/>
      <c r="L856" s="2" t="n"/>
      <c r="N856" s="2" t="n"/>
    </row>
    <row r="857">
      <c r="D857" s="2" t="n"/>
      <c r="E857" s="3" t="n"/>
      <c r="F857" s="3" t="n"/>
      <c r="G857" s="3" t="n"/>
      <c r="H857" s="4" t="n"/>
      <c r="L857" s="2" t="n"/>
      <c r="N857" s="2" t="n"/>
    </row>
    <row r="858">
      <c r="D858" s="2" t="n"/>
      <c r="E858" s="3" t="n"/>
      <c r="F858" s="3" t="n"/>
      <c r="G858" s="3" t="n"/>
      <c r="H858" s="4" t="n"/>
      <c r="L858" s="2" t="n"/>
      <c r="N858" s="2" t="n"/>
    </row>
    <row r="859">
      <c r="D859" s="2" t="n"/>
      <c r="E859" s="3" t="n"/>
      <c r="F859" s="3" t="n"/>
      <c r="G859" s="3" t="n"/>
      <c r="H859" s="4" t="n"/>
      <c r="L859" s="2" t="n"/>
      <c r="N859" s="2" t="n"/>
    </row>
    <row r="860">
      <c r="D860" s="2" t="n"/>
      <c r="E860" s="3" t="n"/>
      <c r="F860" s="3" t="n"/>
      <c r="G860" s="3" t="n"/>
      <c r="H860" s="4" t="n"/>
      <c r="L860" s="2" t="n"/>
      <c r="N860" s="2" t="n"/>
    </row>
    <row r="861">
      <c r="D861" s="2" t="n"/>
      <c r="E861" s="3" t="n"/>
      <c r="F861" s="3" t="n"/>
      <c r="G861" s="3" t="n"/>
      <c r="H861" s="4" t="n"/>
      <c r="L861" s="2" t="n"/>
      <c r="N861" s="2" t="n"/>
    </row>
    <row r="862">
      <c r="D862" s="2" t="n"/>
      <c r="E862" s="3" t="n"/>
      <c r="F862" s="3" t="n"/>
      <c r="G862" s="3" t="n"/>
      <c r="H862" s="4" t="n"/>
      <c r="L862" s="2" t="n"/>
      <c r="N862" s="2" t="n"/>
    </row>
    <row r="863">
      <c r="D863" s="2" t="n"/>
      <c r="E863" s="3" t="n"/>
      <c r="F863" s="3" t="n"/>
      <c r="G863" s="3" t="n"/>
      <c r="H863" s="4" t="n"/>
      <c r="L863" s="2" t="n"/>
      <c r="N863" s="2" t="n"/>
    </row>
    <row r="864">
      <c r="D864" s="2" t="n"/>
      <c r="E864" s="3" t="n"/>
      <c r="F864" s="3" t="n"/>
      <c r="G864" s="3" t="n"/>
      <c r="H864" s="4" t="n"/>
      <c r="L864" s="2" t="n"/>
      <c r="N864" s="2" t="n"/>
    </row>
    <row r="865">
      <c r="D865" s="2" t="n"/>
      <c r="E865" s="3" t="n"/>
      <c r="F865" s="3" t="n"/>
      <c r="G865" s="3" t="n"/>
      <c r="H865" s="4" t="n"/>
      <c r="L865" s="2" t="n"/>
      <c r="N865" s="2" t="n"/>
    </row>
    <row r="866">
      <c r="D866" s="2" t="n"/>
      <c r="E866" s="3" t="n"/>
      <c r="F866" s="3" t="n"/>
      <c r="G866" s="3" t="n"/>
      <c r="H866" s="4" t="n"/>
      <c r="L866" s="2" t="n"/>
      <c r="N866" s="2" t="n"/>
    </row>
    <row r="867">
      <c r="D867" s="2" t="n"/>
      <c r="E867" s="3" t="n"/>
      <c r="F867" s="3" t="n"/>
      <c r="G867" s="3" t="n"/>
      <c r="H867" s="4" t="n"/>
      <c r="L867" s="2" t="n"/>
      <c r="N867" s="2" t="n"/>
    </row>
    <row r="868">
      <c r="D868" s="2" t="n"/>
      <c r="E868" s="3" t="n"/>
      <c r="F868" s="3" t="n"/>
      <c r="G868" s="3" t="n"/>
      <c r="H868" s="4" t="n"/>
      <c r="L868" s="2" t="n"/>
      <c r="N868" s="2" t="n"/>
    </row>
    <row r="869">
      <c r="D869" s="2" t="n"/>
      <c r="E869" s="3" t="n"/>
      <c r="F869" s="3" t="n"/>
      <c r="G869" s="3" t="n"/>
      <c r="H869" s="4" t="n"/>
      <c r="L869" s="2" t="n"/>
      <c r="N869" s="2" t="n"/>
    </row>
    <row r="870">
      <c r="D870" s="2" t="n"/>
      <c r="E870" s="3" t="n"/>
      <c r="F870" s="3" t="n"/>
      <c r="G870" s="3" t="n"/>
      <c r="H870" s="4" t="n"/>
      <c r="L870" s="2" t="n"/>
      <c r="N870" s="2" t="n"/>
    </row>
    <row r="871">
      <c r="D871" s="2" t="n"/>
      <c r="E871" s="3" t="n"/>
      <c r="F871" s="3" t="n"/>
      <c r="G871" s="3" t="n"/>
      <c r="H871" s="4" t="n"/>
      <c r="L871" s="2" t="n"/>
      <c r="N871" s="2" t="n"/>
    </row>
    <row r="872">
      <c r="D872" s="2" t="n"/>
      <c r="E872" s="3" t="n"/>
      <c r="F872" s="3" t="n"/>
      <c r="G872" s="3" t="n"/>
      <c r="H872" s="4" t="n"/>
      <c r="L872" s="2" t="n"/>
      <c r="N872" s="2" t="n"/>
    </row>
    <row r="873">
      <c r="D873" s="2" t="n"/>
      <c r="E873" s="3" t="n"/>
      <c r="F873" s="3" t="n"/>
      <c r="G873" s="3" t="n"/>
      <c r="H873" s="4" t="n"/>
      <c r="L873" s="2" t="n"/>
      <c r="N873" s="2" t="n"/>
    </row>
    <row r="874">
      <c r="D874" s="2" t="n"/>
      <c r="E874" s="3" t="n"/>
      <c r="F874" s="3" t="n"/>
      <c r="G874" s="3" t="n"/>
      <c r="H874" s="4" t="n"/>
      <c r="L874" s="2" t="n"/>
      <c r="N874" s="2" t="n"/>
    </row>
    <row r="875">
      <c r="D875" s="2" t="n"/>
      <c r="E875" s="3" t="n"/>
      <c r="F875" s="3" t="n"/>
      <c r="G875" s="3" t="n"/>
      <c r="H875" s="4" t="n"/>
      <c r="L875" s="2" t="n"/>
      <c r="N875" s="2" t="n"/>
    </row>
    <row r="876">
      <c r="D876" s="2" t="n"/>
      <c r="E876" s="3" t="n"/>
      <c r="F876" s="3" t="n"/>
      <c r="G876" s="3" t="n"/>
      <c r="H876" s="4" t="n"/>
      <c r="L876" s="2" t="n"/>
      <c r="N876" s="2" t="n"/>
    </row>
    <row r="877">
      <c r="D877" s="2" t="n"/>
      <c r="E877" s="3" t="n"/>
      <c r="F877" s="3" t="n"/>
      <c r="G877" s="3" t="n"/>
      <c r="H877" s="4" t="n"/>
      <c r="L877" s="2" t="n"/>
      <c r="N877" s="2" t="n"/>
    </row>
    <row r="878">
      <c r="D878" s="2" t="n"/>
      <c r="E878" s="3" t="n"/>
      <c r="F878" s="3" t="n"/>
      <c r="G878" s="3" t="n"/>
      <c r="H878" s="4" t="n"/>
      <c r="L878" s="2" t="n"/>
      <c r="N878" s="2" t="n"/>
    </row>
    <row r="879">
      <c r="D879" s="2" t="n"/>
      <c r="E879" s="3" t="n"/>
      <c r="F879" s="3" t="n"/>
      <c r="G879" s="3" t="n"/>
      <c r="H879" s="4" t="n"/>
      <c r="L879" s="2" t="n"/>
      <c r="N879" s="2" t="n"/>
    </row>
    <row r="880">
      <c r="D880" s="2" t="n"/>
      <c r="E880" s="3" t="n"/>
      <c r="F880" s="3" t="n"/>
      <c r="G880" s="3" t="n"/>
      <c r="H880" s="4" t="n"/>
      <c r="L880" s="2" t="n"/>
      <c r="N880" s="2" t="n"/>
    </row>
    <row r="881">
      <c r="D881" s="2" t="n"/>
      <c r="E881" s="3" t="n"/>
      <c r="F881" s="3" t="n"/>
      <c r="G881" s="3" t="n"/>
      <c r="H881" s="4" t="n"/>
      <c r="L881" s="2" t="n"/>
      <c r="N881" s="2" t="n"/>
    </row>
    <row r="882">
      <c r="D882" s="2" t="n"/>
      <c r="E882" s="3" t="n"/>
      <c r="F882" s="3" t="n"/>
      <c r="G882" s="3" t="n"/>
      <c r="H882" s="4" t="n"/>
      <c r="L882" s="2" t="n"/>
      <c r="N882" s="2" t="n"/>
    </row>
    <row r="883">
      <c r="D883" s="2" t="n"/>
      <c r="E883" s="3" t="n"/>
      <c r="F883" s="3" t="n"/>
      <c r="G883" s="3" t="n"/>
      <c r="H883" s="4" t="n"/>
      <c r="L883" s="2" t="n"/>
      <c r="N883" s="2" t="n"/>
    </row>
    <row r="884">
      <c r="D884" s="2" t="n"/>
      <c r="E884" s="3" t="n"/>
      <c r="F884" s="3" t="n"/>
      <c r="G884" s="3" t="n"/>
      <c r="H884" s="4" t="n"/>
      <c r="L884" s="2" t="n"/>
      <c r="N884" s="2" t="n"/>
    </row>
    <row r="885">
      <c r="D885" s="2" t="n"/>
      <c r="E885" s="3" t="n"/>
      <c r="F885" s="3" t="n"/>
      <c r="G885" s="3" t="n"/>
      <c r="H885" s="4" t="n"/>
      <c r="L885" s="2" t="n"/>
      <c r="N885" s="2" t="n"/>
    </row>
    <row r="886">
      <c r="D886" s="2" t="n"/>
      <c r="E886" s="3" t="n"/>
      <c r="F886" s="3" t="n"/>
      <c r="G886" s="3" t="n"/>
      <c r="H886" s="4" t="n"/>
      <c r="L886" s="2" t="n"/>
      <c r="N886" s="2" t="n"/>
    </row>
    <row r="887">
      <c r="D887" s="2" t="n"/>
      <c r="E887" s="3" t="n"/>
      <c r="F887" s="3" t="n"/>
      <c r="G887" s="3" t="n"/>
      <c r="H887" s="4" t="n"/>
      <c r="L887" s="2" t="n"/>
      <c r="N887" s="2" t="n"/>
    </row>
    <row r="888">
      <c r="D888" s="2" t="n"/>
      <c r="E888" s="3" t="n"/>
      <c r="F888" s="3" t="n"/>
      <c r="G888" s="3" t="n"/>
      <c r="H888" s="4" t="n"/>
      <c r="L888" s="2" t="n"/>
      <c r="N888" s="2" t="n"/>
    </row>
    <row r="889">
      <c r="D889" s="2" t="n"/>
      <c r="E889" s="3" t="n"/>
      <c r="F889" s="3" t="n"/>
      <c r="G889" s="3" t="n"/>
      <c r="H889" s="4" t="n"/>
      <c r="L889" s="2" t="n"/>
      <c r="N889" s="2" t="n"/>
    </row>
    <row r="890">
      <c r="D890" s="2" t="n"/>
      <c r="E890" s="3" t="n"/>
      <c r="F890" s="3" t="n"/>
      <c r="G890" s="3" t="n"/>
      <c r="H890" s="4" t="n"/>
      <c r="L890" s="2" t="n"/>
      <c r="N890" s="2" t="n"/>
    </row>
    <row r="891">
      <c r="D891" s="2" t="n"/>
      <c r="E891" s="3" t="n"/>
      <c r="F891" s="3" t="n"/>
      <c r="G891" s="3" t="n"/>
      <c r="H891" s="4" t="n"/>
      <c r="L891" s="2" t="n"/>
      <c r="N891" s="2" t="n"/>
    </row>
    <row r="892">
      <c r="D892" s="2" t="n"/>
      <c r="E892" s="3" t="n"/>
      <c r="F892" s="3" t="n"/>
      <c r="G892" s="3" t="n"/>
      <c r="H892" s="4" t="n"/>
      <c r="L892" s="2" t="n"/>
      <c r="N892" s="2" t="n"/>
    </row>
    <row r="893">
      <c r="D893" s="2" t="n"/>
      <c r="E893" s="3" t="n"/>
      <c r="F893" s="3" t="n"/>
      <c r="G893" s="3" t="n"/>
      <c r="H893" s="4" t="n"/>
      <c r="L893" s="2" t="n"/>
      <c r="N893" s="2" t="n"/>
    </row>
    <row r="894">
      <c r="D894" s="2" t="n"/>
      <c r="E894" s="3" t="n"/>
      <c r="F894" s="3" t="n"/>
      <c r="G894" s="3" t="n"/>
      <c r="H894" s="4" t="n"/>
      <c r="L894" s="2" t="n"/>
      <c r="N894" s="2" t="n"/>
    </row>
    <row r="895">
      <c r="D895" s="2" t="n"/>
      <c r="E895" s="3" t="n"/>
      <c r="F895" s="3" t="n"/>
      <c r="G895" s="3" t="n"/>
      <c r="H895" s="4" t="n"/>
      <c r="L895" s="2" t="n"/>
      <c r="N895" s="2" t="n"/>
    </row>
    <row r="896">
      <c r="D896" s="2" t="n"/>
      <c r="E896" s="3" t="n"/>
      <c r="F896" s="3" t="n"/>
      <c r="G896" s="3" t="n"/>
      <c r="H896" s="4" t="n"/>
      <c r="L896" s="2" t="n"/>
      <c r="N896" s="2" t="n"/>
    </row>
    <row r="897">
      <c r="D897" s="2" t="n"/>
      <c r="E897" s="3" t="n"/>
      <c r="F897" s="3" t="n"/>
      <c r="G897" s="3" t="n"/>
      <c r="H897" s="4" t="n"/>
      <c r="L897" s="2" t="n"/>
      <c r="N897" s="2" t="n"/>
    </row>
    <row r="898">
      <c r="D898" s="2" t="n"/>
      <c r="E898" s="3" t="n"/>
      <c r="F898" s="3" t="n"/>
      <c r="G898" s="3" t="n"/>
      <c r="H898" s="4" t="n"/>
      <c r="L898" s="2" t="n"/>
      <c r="N898" s="2" t="n"/>
    </row>
    <row r="899">
      <c r="D899" s="2" t="n"/>
      <c r="E899" s="3" t="n"/>
      <c r="F899" s="3" t="n"/>
      <c r="G899" s="3" t="n"/>
      <c r="H899" s="4" t="n"/>
      <c r="L899" s="2" t="n"/>
      <c r="N899" s="2" t="n"/>
    </row>
    <row r="900">
      <c r="D900" s="2" t="n"/>
      <c r="E900" s="3" t="n"/>
      <c r="F900" s="3" t="n"/>
      <c r="G900" s="3" t="n"/>
      <c r="H900" s="4" t="n"/>
      <c r="L900" s="2" t="n"/>
      <c r="N900" s="2" t="n"/>
    </row>
    <row r="901">
      <c r="D901" s="2" t="n"/>
      <c r="E901" s="3" t="n"/>
      <c r="F901" s="3" t="n"/>
      <c r="G901" s="3" t="n"/>
      <c r="H901" s="4" t="n"/>
      <c r="L901" s="2" t="n"/>
      <c r="N901" s="2" t="n"/>
    </row>
    <row r="902">
      <c r="D902" s="2" t="n"/>
      <c r="E902" s="3" t="n"/>
      <c r="F902" s="3" t="n"/>
      <c r="G902" s="3" t="n"/>
      <c r="H902" s="4" t="n"/>
      <c r="L902" s="2" t="n"/>
      <c r="N902" s="2" t="n"/>
    </row>
    <row r="903">
      <c r="D903" s="2" t="n"/>
      <c r="E903" s="3" t="n"/>
      <c r="F903" s="3" t="n"/>
      <c r="G903" s="3" t="n"/>
      <c r="H903" s="4" t="n"/>
      <c r="L903" s="2" t="n"/>
      <c r="N903" s="2" t="n"/>
    </row>
    <row r="904">
      <c r="D904" s="2" t="n"/>
      <c r="E904" s="3" t="n"/>
      <c r="F904" s="3" t="n"/>
      <c r="G904" s="3" t="n"/>
      <c r="H904" s="4" t="n"/>
      <c r="L904" s="2" t="n"/>
      <c r="N904" s="2" t="n"/>
    </row>
    <row r="905">
      <c r="D905" s="2" t="n"/>
      <c r="E905" s="3" t="n"/>
      <c r="F905" s="3" t="n"/>
      <c r="G905" s="3" t="n"/>
      <c r="H905" s="4" t="n"/>
      <c r="L905" s="2" t="n"/>
      <c r="N905" s="2" t="n"/>
    </row>
    <row r="906">
      <c r="D906" s="2" t="n"/>
      <c r="E906" s="3" t="n"/>
      <c r="F906" s="3" t="n"/>
      <c r="G906" s="3" t="n"/>
      <c r="H906" s="4" t="n"/>
      <c r="L906" s="2" t="n"/>
      <c r="N906" s="2" t="n"/>
    </row>
    <row r="907">
      <c r="D907" s="2" t="n"/>
      <c r="E907" s="3" t="n"/>
      <c r="F907" s="3" t="n"/>
      <c r="G907" s="3" t="n"/>
      <c r="H907" s="4" t="n"/>
      <c r="L907" s="2" t="n"/>
      <c r="N907" s="2" t="n"/>
    </row>
    <row r="908">
      <c r="D908" s="2" t="n"/>
      <c r="E908" s="3" t="n"/>
      <c r="F908" s="3" t="n"/>
      <c r="G908" s="3" t="n"/>
      <c r="H908" s="4" t="n"/>
      <c r="L908" s="2" t="n"/>
      <c r="N908" s="2" t="n"/>
    </row>
    <row r="909">
      <c r="D909" s="2" t="n"/>
      <c r="E909" s="3" t="n"/>
      <c r="F909" s="3" t="n"/>
      <c r="G909" s="3" t="n"/>
      <c r="H909" s="4" t="n"/>
      <c r="L909" s="2" t="n"/>
      <c r="N909" s="2" t="n"/>
    </row>
    <row r="910">
      <c r="D910" s="2" t="n"/>
      <c r="E910" s="3" t="n"/>
      <c r="F910" s="3" t="n"/>
      <c r="G910" s="3" t="n"/>
      <c r="H910" s="4" t="n"/>
      <c r="L910" s="2" t="n"/>
      <c r="N910" s="2" t="n"/>
    </row>
    <row r="911">
      <c r="D911" s="2" t="n"/>
      <c r="E911" s="3" t="n"/>
      <c r="F911" s="3" t="n"/>
      <c r="G911" s="3" t="n"/>
      <c r="H911" s="4" t="n"/>
      <c r="L911" s="2" t="n"/>
      <c r="N911" s="2" t="n"/>
    </row>
    <row r="912">
      <c r="D912" s="2" t="n"/>
      <c r="E912" s="3" t="n"/>
      <c r="F912" s="3" t="n"/>
      <c r="G912" s="3" t="n"/>
      <c r="H912" s="4" t="n"/>
      <c r="L912" s="2" t="n"/>
      <c r="N912" s="2" t="n"/>
    </row>
    <row r="913">
      <c r="D913" s="2" t="n"/>
      <c r="E913" s="3" t="n"/>
      <c r="F913" s="3" t="n"/>
      <c r="G913" s="3" t="n"/>
      <c r="H913" s="4" t="n"/>
      <c r="L913" s="2" t="n"/>
      <c r="N913" s="2" t="n"/>
    </row>
    <row r="914">
      <c r="D914" s="2" t="n"/>
      <c r="E914" s="3" t="n"/>
      <c r="F914" s="3" t="n"/>
      <c r="G914" s="3" t="n"/>
      <c r="H914" s="4" t="n"/>
      <c r="L914" s="2" t="n"/>
      <c r="N914" s="2" t="n"/>
    </row>
    <row r="915">
      <c r="D915" s="2" t="n"/>
      <c r="E915" s="3" t="n"/>
      <c r="F915" s="3" t="n"/>
      <c r="G915" s="3" t="n"/>
      <c r="H915" s="4" t="n"/>
      <c r="L915" s="2" t="n"/>
      <c r="N915" s="2" t="n"/>
    </row>
    <row r="916">
      <c r="D916" s="2" t="n"/>
      <c r="E916" s="3" t="n"/>
      <c r="F916" s="3" t="n"/>
      <c r="G916" s="3" t="n"/>
      <c r="H916" s="4" t="n"/>
      <c r="L916" s="2" t="n"/>
      <c r="N916" s="2" t="n"/>
    </row>
    <row r="917">
      <c r="D917" s="2" t="n"/>
      <c r="E917" s="3" t="n"/>
      <c r="F917" s="3" t="n"/>
      <c r="G917" s="3" t="n"/>
      <c r="H917" s="4" t="n"/>
      <c r="L917" s="2" t="n"/>
      <c r="N917" s="2" t="n"/>
    </row>
    <row r="918">
      <c r="D918" s="2" t="n"/>
      <c r="E918" s="3" t="n"/>
      <c r="F918" s="3" t="n"/>
      <c r="G918" s="3" t="n"/>
      <c r="H918" s="4" t="n"/>
      <c r="L918" s="2" t="n"/>
      <c r="N918" s="2" t="n"/>
    </row>
    <row r="919">
      <c r="D919" s="2" t="n"/>
      <c r="E919" s="3" t="n"/>
      <c r="F919" s="3" t="n"/>
      <c r="G919" s="3" t="n"/>
      <c r="H919" s="4" t="n"/>
      <c r="L919" s="2" t="n"/>
      <c r="N919" s="2" t="n"/>
    </row>
    <row r="920">
      <c r="D920" s="2" t="n"/>
      <c r="E920" s="3" t="n"/>
      <c r="F920" s="3" t="n"/>
      <c r="G920" s="3" t="n"/>
      <c r="H920" s="4" t="n"/>
      <c r="L920" s="2" t="n"/>
      <c r="N920" s="2" t="n"/>
    </row>
    <row r="921">
      <c r="D921" s="2" t="n"/>
      <c r="E921" s="3" t="n"/>
      <c r="F921" s="3" t="n"/>
      <c r="G921" s="3" t="n"/>
      <c r="H921" s="4" t="n"/>
      <c r="L921" s="2" t="n"/>
      <c r="N921" s="2" t="n"/>
    </row>
    <row r="922">
      <c r="D922" s="2" t="n"/>
      <c r="E922" s="3" t="n"/>
      <c r="F922" s="3" t="n"/>
      <c r="G922" s="3" t="n"/>
      <c r="H922" s="4" t="n"/>
      <c r="L922" s="2" t="n"/>
      <c r="N922" s="2" t="n"/>
    </row>
    <row r="923">
      <c r="D923" s="2" t="n"/>
      <c r="E923" s="3" t="n"/>
      <c r="F923" s="3" t="n"/>
      <c r="G923" s="3" t="n"/>
      <c r="H923" s="4" t="n"/>
      <c r="L923" s="2" t="n"/>
      <c r="N923" s="2" t="n"/>
    </row>
    <row r="924">
      <c r="D924" s="2" t="n"/>
      <c r="E924" s="3" t="n"/>
      <c r="F924" s="3" t="n"/>
      <c r="G924" s="3" t="n"/>
      <c r="H924" s="4" t="n"/>
      <c r="L924" s="2" t="n"/>
      <c r="N924" s="2" t="n"/>
    </row>
    <row r="925">
      <c r="D925" s="2" t="n"/>
      <c r="E925" s="3" t="n"/>
      <c r="F925" s="3" t="n"/>
      <c r="G925" s="3" t="n"/>
      <c r="H925" s="4" t="n"/>
      <c r="L925" s="2" t="n"/>
      <c r="N925" s="2" t="n"/>
    </row>
    <row r="926">
      <c r="D926" s="2" t="n"/>
      <c r="E926" s="3" t="n"/>
      <c r="F926" s="3" t="n"/>
      <c r="G926" s="3" t="n"/>
      <c r="H926" s="4" t="n"/>
      <c r="L926" s="2" t="n"/>
      <c r="N926" s="2" t="n"/>
    </row>
    <row r="927">
      <c r="D927" s="2" t="n"/>
      <c r="E927" s="3" t="n"/>
      <c r="F927" s="3" t="n"/>
      <c r="G927" s="3" t="n"/>
      <c r="H927" s="4" t="n"/>
      <c r="L927" s="2" t="n"/>
      <c r="N927" s="2" t="n"/>
    </row>
    <row r="928">
      <c r="D928" s="2" t="n"/>
      <c r="E928" s="3" t="n"/>
      <c r="F928" s="3" t="n"/>
      <c r="G928" s="3" t="n"/>
      <c r="H928" s="4" t="n"/>
      <c r="L928" s="2" t="n"/>
      <c r="N928" s="2" t="n"/>
    </row>
    <row r="929">
      <c r="D929" s="2" t="n"/>
      <c r="E929" s="3" t="n"/>
      <c r="F929" s="3" t="n"/>
      <c r="G929" s="3" t="n"/>
      <c r="H929" s="4" t="n"/>
      <c r="L929" s="2" t="n"/>
      <c r="N929" s="2" t="n"/>
    </row>
    <row r="930">
      <c r="D930" s="2" t="n"/>
      <c r="E930" s="3" t="n"/>
      <c r="F930" s="3" t="n"/>
      <c r="G930" s="3" t="n"/>
      <c r="H930" s="4" t="n"/>
      <c r="L930" s="2" t="n"/>
      <c r="N930" s="2" t="n"/>
    </row>
    <row r="931">
      <c r="D931" s="2" t="n"/>
      <c r="E931" s="3" t="n"/>
      <c r="F931" s="3" t="n"/>
      <c r="G931" s="3" t="n"/>
      <c r="H931" s="4" t="n"/>
      <c r="L931" s="2" t="n"/>
      <c r="N931" s="2" t="n"/>
    </row>
    <row r="932">
      <c r="D932" s="2" t="n"/>
      <c r="E932" s="3" t="n"/>
      <c r="F932" s="3" t="n"/>
      <c r="G932" s="3" t="n"/>
      <c r="H932" s="4" t="n"/>
      <c r="L932" s="2" t="n"/>
      <c r="N932" s="2" t="n"/>
    </row>
    <row r="933">
      <c r="D933" s="2" t="n"/>
      <c r="E933" s="3" t="n"/>
      <c r="F933" s="3" t="n"/>
      <c r="G933" s="3" t="n"/>
      <c r="H933" s="4" t="n"/>
      <c r="L933" s="2" t="n"/>
      <c r="N933" s="2" t="n"/>
    </row>
    <row r="934">
      <c r="D934" s="2" t="n"/>
      <c r="E934" s="3" t="n"/>
      <c r="F934" s="3" t="n"/>
      <c r="G934" s="3" t="n"/>
      <c r="H934" s="4" t="n"/>
      <c r="L934" s="2" t="n"/>
      <c r="N934" s="2" t="n"/>
    </row>
    <row r="935">
      <c r="D935" s="2" t="n"/>
      <c r="E935" s="3" t="n"/>
      <c r="F935" s="3" t="n"/>
      <c r="G935" s="3" t="n"/>
      <c r="H935" s="4" t="n"/>
      <c r="L935" s="2" t="n"/>
      <c r="N935" s="2" t="n"/>
    </row>
    <row r="936">
      <c r="D936" s="2" t="n"/>
      <c r="E936" s="3" t="n"/>
      <c r="F936" s="3" t="n"/>
      <c r="G936" s="3" t="n"/>
      <c r="H936" s="4" t="n"/>
      <c r="L936" s="2" t="n"/>
      <c r="N936" s="2" t="n"/>
    </row>
    <row r="937">
      <c r="D937" s="2" t="n"/>
      <c r="E937" s="3" t="n"/>
      <c r="F937" s="3" t="n"/>
      <c r="G937" s="3" t="n"/>
      <c r="H937" s="4" t="n"/>
      <c r="L937" s="2" t="n"/>
      <c r="N937" s="2" t="n"/>
    </row>
    <row r="938">
      <c r="D938" s="2" t="n"/>
      <c r="E938" s="3" t="n"/>
      <c r="F938" s="3" t="n"/>
      <c r="G938" s="3" t="n"/>
      <c r="H938" s="4" t="n"/>
      <c r="L938" s="2" t="n"/>
      <c r="N938" s="2" t="n"/>
    </row>
    <row r="939">
      <c r="D939" s="2" t="n"/>
      <c r="E939" s="3" t="n"/>
      <c r="F939" s="3" t="n"/>
      <c r="G939" s="3" t="n"/>
      <c r="H939" s="4" t="n"/>
      <c r="L939" s="2" t="n"/>
      <c r="N939" s="2" t="n"/>
    </row>
    <row r="940">
      <c r="D940" s="2" t="n"/>
      <c r="E940" s="3" t="n"/>
      <c r="F940" s="3" t="n"/>
      <c r="G940" s="3" t="n"/>
      <c r="H940" s="4" t="n"/>
      <c r="L940" s="2" t="n"/>
      <c r="N940" s="2" t="n"/>
    </row>
    <row r="941">
      <c r="D941" s="2" t="n"/>
      <c r="E941" s="3" t="n"/>
      <c r="F941" s="3" t="n"/>
      <c r="G941" s="3" t="n"/>
      <c r="H941" s="4" t="n"/>
      <c r="L941" s="2" t="n"/>
      <c r="N941" s="2" t="n"/>
    </row>
    <row r="942">
      <c r="D942" s="2" t="n"/>
      <c r="E942" s="3" t="n"/>
      <c r="F942" s="3" t="n"/>
      <c r="G942" s="3" t="n"/>
      <c r="H942" s="4" t="n"/>
      <c r="L942" s="2" t="n"/>
      <c r="N942" s="2" t="n"/>
    </row>
    <row r="943">
      <c r="D943" s="2" t="n"/>
      <c r="E943" s="3" t="n"/>
      <c r="F943" s="3" t="n"/>
      <c r="G943" s="3" t="n"/>
      <c r="H943" s="4" t="n"/>
      <c r="L943" s="2" t="n"/>
      <c r="N943" s="2" t="n"/>
    </row>
    <row r="944">
      <c r="D944" s="2" t="n"/>
      <c r="E944" s="3" t="n"/>
      <c r="F944" s="3" t="n"/>
      <c r="G944" s="3" t="n"/>
      <c r="H944" s="4" t="n"/>
      <c r="L944" s="2" t="n"/>
      <c r="N944" s="2" t="n"/>
    </row>
    <row r="945">
      <c r="D945" s="2" t="n"/>
      <c r="E945" s="3" t="n"/>
      <c r="F945" s="3" t="n"/>
      <c r="G945" s="3" t="n"/>
      <c r="H945" s="4" t="n"/>
      <c r="L945" s="2" t="n"/>
      <c r="N945" s="2" t="n"/>
    </row>
    <row r="946">
      <c r="D946" s="2" t="n"/>
      <c r="E946" s="3" t="n"/>
      <c r="F946" s="3" t="n"/>
      <c r="G946" s="3" t="n"/>
      <c r="H946" s="4" t="n"/>
      <c r="L946" s="2" t="n"/>
      <c r="N946" s="2" t="n"/>
    </row>
    <row r="947">
      <c r="D947" s="2" t="n"/>
      <c r="E947" s="3" t="n"/>
      <c r="F947" s="3" t="n"/>
      <c r="G947" s="3" t="n"/>
      <c r="H947" s="4" t="n"/>
      <c r="L947" s="2" t="n"/>
      <c r="N947" s="2" t="n"/>
    </row>
    <row r="948">
      <c r="D948" s="2" t="n"/>
      <c r="E948" s="3" t="n"/>
      <c r="F948" s="3" t="n"/>
      <c r="G948" s="3" t="n"/>
      <c r="H948" s="4" t="n"/>
      <c r="L948" s="2" t="n"/>
      <c r="N948" s="2" t="n"/>
    </row>
    <row r="949">
      <c r="D949" s="2" t="n"/>
      <c r="E949" s="3" t="n"/>
      <c r="F949" s="3" t="n"/>
      <c r="G949" s="3" t="n"/>
      <c r="H949" s="4" t="n"/>
      <c r="L949" s="2" t="n"/>
      <c r="N949" s="2" t="n"/>
    </row>
    <row r="950">
      <c r="D950" s="2" t="n"/>
      <c r="E950" s="3" t="n"/>
      <c r="F950" s="3" t="n"/>
      <c r="G950" s="3" t="n"/>
      <c r="H950" s="4" t="n"/>
      <c r="L950" s="2" t="n"/>
      <c r="N950" s="2" t="n"/>
    </row>
    <row r="951">
      <c r="D951" s="2" t="n"/>
      <c r="E951" s="3" t="n"/>
      <c r="F951" s="3" t="n"/>
      <c r="G951" s="3" t="n"/>
      <c r="H951" s="4" t="n"/>
      <c r="L951" s="2" t="n"/>
      <c r="N951" s="2" t="n"/>
    </row>
    <row r="952">
      <c r="D952" s="2" t="n"/>
      <c r="E952" s="3" t="n"/>
      <c r="F952" s="3" t="n"/>
      <c r="G952" s="3" t="n"/>
      <c r="H952" s="4" t="n"/>
      <c r="L952" s="2" t="n"/>
      <c r="N952" s="2" t="n"/>
    </row>
    <row r="953">
      <c r="D953" s="2" t="n"/>
      <c r="E953" s="3" t="n"/>
      <c r="F953" s="3" t="n"/>
      <c r="G953" s="3" t="n"/>
      <c r="H953" s="4" t="n"/>
      <c r="L953" s="2" t="n"/>
      <c r="N953" s="2" t="n"/>
    </row>
    <row r="954">
      <c r="D954" s="2" t="n"/>
      <c r="E954" s="3" t="n"/>
      <c r="F954" s="3" t="n"/>
      <c r="G954" s="3" t="n"/>
      <c r="H954" s="4" t="n"/>
      <c r="L954" s="2" t="n"/>
      <c r="N954" s="2" t="n"/>
    </row>
    <row r="955">
      <c r="D955" s="2" t="n"/>
      <c r="E955" s="3" t="n"/>
      <c r="F955" s="3" t="n"/>
      <c r="G955" s="3" t="n"/>
      <c r="H955" s="4" t="n"/>
      <c r="L955" s="2" t="n"/>
      <c r="N955" s="2" t="n"/>
    </row>
    <row r="956">
      <c r="D956" s="2" t="n"/>
      <c r="E956" s="3" t="n"/>
      <c r="F956" s="3" t="n"/>
      <c r="G956" s="3" t="n"/>
      <c r="H956" s="4" t="n"/>
      <c r="L956" s="2" t="n"/>
      <c r="N956" s="2" t="n"/>
    </row>
    <row r="957">
      <c r="D957" s="2" t="n"/>
      <c r="E957" s="3" t="n"/>
      <c r="F957" s="3" t="n"/>
      <c r="G957" s="3" t="n"/>
      <c r="H957" s="4" t="n"/>
      <c r="L957" s="2" t="n"/>
      <c r="N957" s="2" t="n"/>
    </row>
    <row r="958">
      <c r="D958" s="2" t="n"/>
      <c r="E958" s="3" t="n"/>
      <c r="F958" s="3" t="n"/>
      <c r="G958" s="3" t="n"/>
      <c r="H958" s="4" t="n"/>
      <c r="L958" s="2" t="n"/>
      <c r="N958" s="2" t="n"/>
    </row>
    <row r="959">
      <c r="D959" s="2" t="n"/>
      <c r="E959" s="3" t="n"/>
      <c r="F959" s="3" t="n"/>
      <c r="G959" s="3" t="n"/>
      <c r="H959" s="4" t="n"/>
      <c r="L959" s="2" t="n"/>
      <c r="N959" s="2" t="n"/>
    </row>
    <row r="960">
      <c r="D960" s="2" t="n"/>
      <c r="E960" s="3" t="n"/>
      <c r="F960" s="3" t="n"/>
      <c r="G960" s="3" t="n"/>
      <c r="H960" s="4" t="n"/>
      <c r="L960" s="2" t="n"/>
      <c r="N960" s="2" t="n"/>
    </row>
    <row r="961">
      <c r="D961" s="2" t="n"/>
      <c r="E961" s="3" t="n"/>
      <c r="F961" s="3" t="n"/>
      <c r="G961" s="3" t="n"/>
      <c r="H961" s="4" t="n"/>
      <c r="L961" s="2" t="n"/>
      <c r="N961" s="2" t="n"/>
    </row>
    <row r="962">
      <c r="D962" s="2" t="n"/>
      <c r="E962" s="3" t="n"/>
      <c r="F962" s="3" t="n"/>
      <c r="G962" s="3" t="n"/>
      <c r="H962" s="4" t="n"/>
      <c r="L962" s="2" t="n"/>
      <c r="N962" s="2" t="n"/>
    </row>
    <row r="963">
      <c r="D963" s="2" t="n"/>
      <c r="E963" s="3" t="n"/>
      <c r="F963" s="3" t="n"/>
      <c r="G963" s="3" t="n"/>
      <c r="H963" s="4" t="n"/>
      <c r="L963" s="2" t="n"/>
      <c r="N963" s="2" t="n"/>
    </row>
    <row r="964">
      <c r="D964" s="2" t="n"/>
      <c r="E964" s="3" t="n"/>
      <c r="F964" s="3" t="n"/>
      <c r="G964" s="3" t="n"/>
      <c r="H964" s="4" t="n"/>
      <c r="L964" s="2" t="n"/>
      <c r="N964" s="2" t="n"/>
    </row>
    <row r="965">
      <c r="D965" s="2" t="n"/>
      <c r="E965" s="3" t="n"/>
      <c r="F965" s="3" t="n"/>
      <c r="G965" s="3" t="n"/>
      <c r="H965" s="4" t="n"/>
      <c r="L965" s="2" t="n"/>
      <c r="N965" s="2" t="n"/>
    </row>
    <row r="966">
      <c r="D966" s="2" t="n"/>
      <c r="E966" s="3" t="n"/>
      <c r="F966" s="3" t="n"/>
      <c r="G966" s="3" t="n"/>
      <c r="H966" s="4" t="n"/>
      <c r="L966" s="2" t="n"/>
      <c r="N966" s="2" t="n"/>
    </row>
    <row r="967">
      <c r="D967" s="2" t="n"/>
      <c r="E967" s="3" t="n"/>
      <c r="F967" s="3" t="n"/>
      <c r="G967" s="3" t="n"/>
      <c r="H967" s="4" t="n"/>
      <c r="L967" s="2" t="n"/>
      <c r="N967" s="2" t="n"/>
    </row>
    <row r="968">
      <c r="D968" s="2" t="n"/>
      <c r="E968" s="3" t="n"/>
      <c r="F968" s="3" t="n"/>
      <c r="G968" s="3" t="n"/>
      <c r="H968" s="4" t="n"/>
      <c r="L968" s="2" t="n"/>
      <c r="N968" s="2" t="n"/>
    </row>
    <row r="969">
      <c r="D969" s="2" t="n"/>
      <c r="E969" s="3" t="n"/>
      <c r="F969" s="3" t="n"/>
      <c r="G969" s="3" t="n"/>
      <c r="H969" s="4" t="n"/>
      <c r="L969" s="2" t="n"/>
      <c r="N969" s="2" t="n"/>
    </row>
    <row r="970">
      <c r="D970" s="2" t="n"/>
      <c r="E970" s="3" t="n"/>
      <c r="F970" s="3" t="n"/>
      <c r="G970" s="3" t="n"/>
      <c r="H970" s="4" t="n"/>
      <c r="L970" s="2" t="n"/>
      <c r="N970" s="2" t="n"/>
    </row>
    <row r="971">
      <c r="D971" s="2" t="n"/>
      <c r="E971" s="3" t="n"/>
      <c r="F971" s="3" t="n"/>
      <c r="G971" s="3" t="n"/>
      <c r="H971" s="4" t="n"/>
      <c r="L971" s="2" t="n"/>
      <c r="N971" s="2" t="n"/>
    </row>
    <row r="972">
      <c r="D972" s="2" t="n"/>
      <c r="E972" s="3" t="n"/>
      <c r="F972" s="3" t="n"/>
      <c r="G972" s="3" t="n"/>
      <c r="H972" s="4" t="n"/>
      <c r="L972" s="2" t="n"/>
      <c r="N972" s="2" t="n"/>
    </row>
    <row r="973">
      <c r="D973" s="2" t="n"/>
      <c r="E973" s="3" t="n"/>
      <c r="F973" s="3" t="n"/>
      <c r="G973" s="3" t="n"/>
      <c r="H973" s="4" t="n"/>
      <c r="L973" s="2" t="n"/>
      <c r="N973" s="2" t="n"/>
    </row>
    <row r="974">
      <c r="D974" s="2" t="n"/>
      <c r="E974" s="3" t="n"/>
      <c r="F974" s="3" t="n"/>
      <c r="G974" s="3" t="n"/>
      <c r="H974" s="4" t="n"/>
      <c r="L974" s="2" t="n"/>
      <c r="N974" s="2" t="n"/>
    </row>
    <row r="975">
      <c r="D975" s="2" t="n"/>
      <c r="E975" s="3" t="n"/>
      <c r="F975" s="3" t="n"/>
      <c r="G975" s="3" t="n"/>
      <c r="H975" s="4" t="n"/>
      <c r="L975" s="2" t="n"/>
      <c r="N975" s="2" t="n"/>
    </row>
    <row r="976">
      <c r="D976" s="2" t="n"/>
      <c r="E976" s="3" t="n"/>
      <c r="F976" s="3" t="n"/>
      <c r="G976" s="3" t="n"/>
      <c r="H976" s="4" t="n"/>
      <c r="L976" s="2" t="n"/>
      <c r="N976" s="2" t="n"/>
    </row>
    <row r="977">
      <c r="D977" s="2" t="n"/>
      <c r="E977" s="3" t="n"/>
      <c r="F977" s="3" t="n"/>
      <c r="G977" s="3" t="n"/>
      <c r="H977" s="4" t="n"/>
      <c r="L977" s="2" t="n"/>
      <c r="N977" s="2" t="n"/>
    </row>
    <row r="978">
      <c r="D978" s="2" t="n"/>
      <c r="E978" s="3" t="n"/>
      <c r="F978" s="3" t="n"/>
      <c r="G978" s="3" t="n"/>
      <c r="H978" s="4" t="n"/>
      <c r="L978" s="2" t="n"/>
      <c r="N978" s="2" t="n"/>
    </row>
    <row r="979">
      <c r="D979" s="2" t="n"/>
      <c r="E979" s="3" t="n"/>
      <c r="F979" s="3" t="n"/>
      <c r="G979" s="3" t="n"/>
      <c r="H979" s="4" t="n"/>
      <c r="L979" s="2" t="n"/>
      <c r="N979" s="2" t="n"/>
    </row>
    <row r="980">
      <c r="D980" s="2" t="n"/>
      <c r="E980" s="3" t="n"/>
      <c r="F980" s="3" t="n"/>
      <c r="G980" s="3" t="n"/>
      <c r="H980" s="4" t="n"/>
      <c r="L980" s="2" t="n"/>
      <c r="N980" s="2" t="n"/>
    </row>
    <row r="981">
      <c r="D981" s="2" t="n"/>
      <c r="E981" s="3" t="n"/>
      <c r="F981" s="3" t="n"/>
      <c r="G981" s="3" t="n"/>
      <c r="H981" s="4" t="n"/>
      <c r="L981" s="2" t="n"/>
      <c r="N981" s="2" t="n"/>
    </row>
    <row r="982">
      <c r="D982" s="2" t="n"/>
      <c r="E982" s="3" t="n"/>
      <c r="F982" s="3" t="n"/>
      <c r="G982" s="3" t="n"/>
      <c r="H982" s="4" t="n"/>
      <c r="L982" s="2" t="n"/>
      <c r="N982" s="2" t="n"/>
    </row>
    <row r="983">
      <c r="D983" s="2" t="n"/>
      <c r="E983" s="3" t="n"/>
      <c r="F983" s="3" t="n"/>
      <c r="G983" s="3" t="n"/>
      <c r="H983" s="4" t="n"/>
      <c r="L983" s="2" t="n"/>
      <c r="N983" s="2" t="n"/>
    </row>
    <row r="984">
      <c r="D984" s="2" t="n"/>
      <c r="E984" s="3" t="n"/>
      <c r="F984" s="3" t="n"/>
      <c r="G984" s="3" t="n"/>
      <c r="H984" s="4" t="n"/>
      <c r="L984" s="2" t="n"/>
      <c r="N984" s="2" t="n"/>
    </row>
    <row r="985">
      <c r="D985" s="2" t="n"/>
      <c r="E985" s="3" t="n"/>
      <c r="F985" s="3" t="n"/>
      <c r="G985" s="3" t="n"/>
      <c r="H985" s="4" t="n"/>
      <c r="L985" s="2" t="n"/>
      <c r="N985" s="2" t="n"/>
    </row>
    <row r="986">
      <c r="D986" s="2" t="n"/>
      <c r="E986" s="3" t="n"/>
      <c r="F986" s="3" t="n"/>
      <c r="G986" s="3" t="n"/>
      <c r="H986" s="4" t="n"/>
      <c r="L986" s="2" t="n"/>
      <c r="N986" s="2" t="n"/>
    </row>
    <row r="987">
      <c r="D987" s="2" t="n"/>
      <c r="E987" s="3" t="n"/>
      <c r="F987" s="3" t="n"/>
      <c r="G987" s="3" t="n"/>
      <c r="H987" s="4" t="n"/>
      <c r="L987" s="2" t="n"/>
      <c r="N987" s="2" t="n"/>
    </row>
    <row r="988">
      <c r="D988" s="2" t="n"/>
      <c r="E988" s="3" t="n"/>
      <c r="F988" s="3" t="n"/>
      <c r="G988" s="3" t="n"/>
      <c r="H988" s="4" t="n"/>
      <c r="L988" s="2" t="n"/>
      <c r="N988" s="2" t="n"/>
    </row>
    <row r="989">
      <c r="D989" s="2" t="n"/>
      <c r="E989" s="3" t="n"/>
      <c r="F989" s="3" t="n"/>
      <c r="G989" s="3" t="n"/>
      <c r="H989" s="4" t="n"/>
      <c r="L989" s="2" t="n"/>
      <c r="N989" s="2" t="n"/>
    </row>
    <row r="990">
      <c r="D990" s="2" t="n"/>
      <c r="E990" s="3" t="n"/>
      <c r="F990" s="3" t="n"/>
      <c r="G990" s="3" t="n"/>
      <c r="H990" s="4" t="n"/>
      <c r="L990" s="2" t="n"/>
      <c r="N990" s="2" t="n"/>
    </row>
    <row r="991">
      <c r="D991" s="2" t="n"/>
      <c r="E991" s="3" t="n"/>
      <c r="F991" s="3" t="n"/>
      <c r="G991" s="3" t="n"/>
      <c r="H991" s="4" t="n"/>
      <c r="L991" s="2" t="n"/>
      <c r="N991" s="2" t="n"/>
    </row>
    <row r="992">
      <c r="D992" s="2" t="n"/>
      <c r="E992" s="3" t="n"/>
      <c r="F992" s="3" t="n"/>
      <c r="G992" s="3" t="n"/>
      <c r="H992" s="4" t="n"/>
      <c r="L992" s="2" t="n"/>
      <c r="N992" s="2" t="n"/>
    </row>
    <row r="993">
      <c r="D993" s="2" t="n"/>
      <c r="E993" s="3" t="n"/>
      <c r="F993" s="3" t="n"/>
      <c r="G993" s="3" t="n"/>
      <c r="H993" s="4" t="n"/>
      <c r="L993" s="2" t="n"/>
      <c r="N993" s="2" t="n"/>
    </row>
    <row r="994">
      <c r="D994" s="2" t="n"/>
      <c r="E994" s="3" t="n"/>
      <c r="F994" s="3" t="n"/>
      <c r="G994" s="3" t="n"/>
      <c r="H994" s="4" t="n"/>
      <c r="L994" s="2" t="n"/>
      <c r="N994" s="2" t="n"/>
    </row>
    <row r="995">
      <c r="D995" s="2" t="n"/>
      <c r="E995" s="3" t="n"/>
      <c r="F995" s="3" t="n"/>
      <c r="G995" s="3" t="n"/>
      <c r="H995" s="4" t="n"/>
      <c r="L995" s="2" t="n"/>
      <c r="N995" s="2" t="n"/>
    </row>
    <row r="996">
      <c r="D996" s="2" t="n"/>
      <c r="E996" s="3" t="n"/>
      <c r="F996" s="3" t="n"/>
      <c r="G996" s="3" t="n"/>
      <c r="H996" s="4" t="n"/>
      <c r="L996" s="2" t="n"/>
      <c r="N996" s="2" t="n"/>
    </row>
    <row r="997">
      <c r="D997" s="2" t="n"/>
      <c r="E997" s="3" t="n"/>
      <c r="F997" s="3" t="n"/>
      <c r="G997" s="3" t="n"/>
      <c r="H997" s="4" t="n"/>
      <c r="L997" s="2" t="n"/>
      <c r="N997" s="2" t="n"/>
    </row>
    <row r="998">
      <c r="D998" s="2" t="n"/>
      <c r="E998" s="3" t="n"/>
      <c r="F998" s="3" t="n"/>
      <c r="G998" s="3" t="n"/>
      <c r="H998" s="4" t="n"/>
      <c r="L998" s="2" t="n"/>
      <c r="N998" s="2" t="n"/>
    </row>
    <row r="999">
      <c r="D999" s="2" t="n"/>
      <c r="E999" s="3" t="n"/>
      <c r="F999" s="3" t="n"/>
      <c r="G999" s="3" t="n"/>
      <c r="H999" s="4" t="n"/>
      <c r="L999" s="2" t="n"/>
      <c r="N999" s="2" t="n"/>
    </row>
    <row r="1000">
      <c r="D1000" s="2" t="n"/>
      <c r="E1000" s="3" t="n"/>
      <c r="F1000" s="3" t="n"/>
      <c r="G1000" s="3" t="n"/>
      <c r="H1000" s="4" t="n"/>
      <c r="L1000" s="2" t="n"/>
      <c r="N1000" s="2" t="n"/>
    </row>
    <row r="1001">
      <c r="D1001" s="2" t="n"/>
      <c r="E1001" s="3" t="n"/>
      <c r="F1001" s="3" t="n"/>
      <c r="G1001" s="3" t="n"/>
      <c r="H1001" s="4" t="n"/>
      <c r="L1001" s="2" t="n"/>
      <c r="N1001" s="2" t="n"/>
    </row>
    <row r="1002">
      <c r="D1002" s="2" t="n"/>
      <c r="E1002" s="3" t="n"/>
      <c r="F1002" s="3" t="n"/>
      <c r="G1002" s="3" t="n"/>
      <c r="H1002" s="4" t="n"/>
      <c r="L1002" s="2" t="n"/>
      <c r="N1002" s="2" t="n"/>
    </row>
    <row r="1003">
      <c r="D1003" s="2" t="n"/>
      <c r="E1003" s="3" t="n"/>
      <c r="F1003" s="3" t="n"/>
      <c r="G1003" s="3" t="n"/>
      <c r="H1003" s="4" t="n"/>
      <c r="L1003" s="2" t="n"/>
      <c r="N1003" s="2" t="n"/>
    </row>
    <row r="1004">
      <c r="D1004" s="2" t="n"/>
      <c r="E1004" s="3" t="n"/>
      <c r="F1004" s="3" t="n"/>
      <c r="G1004" s="3" t="n"/>
      <c r="H1004" s="4" t="n"/>
      <c r="L1004" s="2" t="n"/>
      <c r="N1004" s="2" t="n"/>
    </row>
    <row r="1005">
      <c r="D1005" s="2" t="n"/>
      <c r="E1005" s="3" t="n"/>
      <c r="F1005" s="3" t="n"/>
      <c r="G1005" s="3" t="n"/>
      <c r="H1005" s="4" t="n"/>
      <c r="L1005" s="2" t="n"/>
      <c r="N1005" s="2" t="n"/>
    </row>
    <row r="1006">
      <c r="D1006" s="2" t="n"/>
      <c r="E1006" s="3" t="n"/>
      <c r="F1006" s="3" t="n"/>
      <c r="G1006" s="3" t="n"/>
      <c r="H1006" s="4" t="n"/>
      <c r="L1006" s="2" t="n"/>
      <c r="N1006" s="2" t="n"/>
    </row>
    <row r="1007">
      <c r="D1007" s="2" t="n"/>
      <c r="E1007" s="3" t="n"/>
      <c r="F1007" s="3" t="n"/>
      <c r="G1007" s="3" t="n"/>
      <c r="H1007" s="4" t="n"/>
      <c r="L1007" s="2" t="n"/>
      <c r="N1007" s="2" t="n"/>
    </row>
    <row r="1008">
      <c r="D1008" s="2" t="n"/>
      <c r="E1008" s="3" t="n"/>
      <c r="F1008" s="3" t="n"/>
      <c r="G1008" s="3" t="n"/>
      <c r="H1008" s="4" t="n"/>
      <c r="L1008" s="2" t="n"/>
      <c r="N1008" s="2" t="n"/>
    </row>
    <row r="1009">
      <c r="D1009" s="2" t="n"/>
      <c r="E1009" s="3" t="n"/>
      <c r="F1009" s="3" t="n"/>
      <c r="G1009" s="3" t="n"/>
      <c r="H1009" s="4" t="n"/>
      <c r="L1009" s="2" t="n"/>
      <c r="N1009" s="2" t="n"/>
    </row>
    <row r="1010">
      <c r="D1010" s="2" t="n"/>
      <c r="E1010" s="3" t="n"/>
      <c r="F1010" s="3" t="n"/>
      <c r="G1010" s="3" t="n"/>
      <c r="H1010" s="4" t="n"/>
      <c r="L1010" s="2" t="n"/>
      <c r="N1010" s="2" t="n"/>
    </row>
    <row r="1011">
      <c r="D1011" s="2" t="n"/>
      <c r="E1011" s="3" t="n"/>
      <c r="F1011" s="3" t="n"/>
      <c r="G1011" s="3" t="n"/>
      <c r="H1011" s="4" t="n"/>
      <c r="L1011" s="2" t="n"/>
      <c r="N1011" s="2" t="n"/>
    </row>
    <row r="1012">
      <c r="D1012" s="2" t="n"/>
      <c r="E1012" s="3" t="n"/>
      <c r="F1012" s="3" t="n"/>
      <c r="G1012" s="3" t="n"/>
      <c r="H1012" s="4" t="n"/>
      <c r="L1012" s="2" t="n"/>
      <c r="N1012" s="2" t="n"/>
    </row>
    <row r="1013">
      <c r="D1013" s="2" t="n"/>
      <c r="E1013" s="3" t="n"/>
      <c r="F1013" s="3" t="n"/>
      <c r="G1013" s="3" t="n"/>
      <c r="H1013" s="4" t="n"/>
      <c r="L1013" s="2" t="n"/>
      <c r="N1013" s="2" t="n"/>
    </row>
    <row r="1014">
      <c r="D1014" s="2" t="n"/>
      <c r="E1014" s="3" t="n"/>
      <c r="F1014" s="3" t="n"/>
      <c r="G1014" s="3" t="n"/>
      <c r="H1014" s="4" t="n"/>
      <c r="L1014" s="2" t="n"/>
      <c r="N1014" s="2" t="n"/>
    </row>
    <row r="1015">
      <c r="D1015" s="2" t="n"/>
      <c r="E1015" s="3" t="n"/>
      <c r="F1015" s="3" t="n"/>
      <c r="G1015" s="3" t="n"/>
      <c r="H1015" s="4" t="n"/>
      <c r="L1015" s="2" t="n"/>
      <c r="N1015" s="2" t="n"/>
    </row>
    <row r="1016">
      <c r="D1016" s="2" t="n"/>
      <c r="E1016" s="3" t="n"/>
      <c r="F1016" s="3" t="n"/>
      <c r="G1016" s="3" t="n"/>
      <c r="H1016" s="4" t="n"/>
      <c r="L1016" s="2" t="n"/>
      <c r="N1016" s="2" t="n"/>
    </row>
    <row r="1017">
      <c r="D1017" s="2" t="n"/>
      <c r="E1017" s="3" t="n"/>
      <c r="F1017" s="3" t="n"/>
      <c r="G1017" s="3" t="n"/>
      <c r="H1017" s="4" t="n"/>
      <c r="L1017" s="2" t="n"/>
      <c r="N1017" s="2" t="n"/>
    </row>
    <row r="1018">
      <c r="D1018" s="2" t="n"/>
      <c r="E1018" s="3" t="n"/>
      <c r="F1018" s="3" t="n"/>
      <c r="G1018" s="3" t="n"/>
      <c r="H1018" s="4" t="n"/>
      <c r="L1018" s="2" t="n"/>
      <c r="N1018" s="2" t="n"/>
    </row>
    <row r="1019">
      <c r="D1019" s="2" t="n"/>
      <c r="E1019" s="3" t="n"/>
      <c r="F1019" s="3" t="n"/>
      <c r="G1019" s="3" t="n"/>
      <c r="H1019" s="4" t="n"/>
      <c r="L1019" s="2" t="n"/>
      <c r="N1019" s="2" t="n"/>
    </row>
    <row r="1020">
      <c r="D1020" s="2" t="n"/>
      <c r="E1020" s="3" t="n"/>
      <c r="F1020" s="3" t="n"/>
      <c r="G1020" s="3" t="n"/>
      <c r="H1020" s="4" t="n"/>
      <c r="L1020" s="2" t="n"/>
      <c r="N1020" s="2" t="n"/>
    </row>
    <row r="1021">
      <c r="D1021" s="2" t="n"/>
      <c r="E1021" s="3" t="n"/>
      <c r="F1021" s="3" t="n"/>
      <c r="G1021" s="3" t="n"/>
      <c r="H1021" s="4" t="n"/>
      <c r="L1021" s="2" t="n"/>
      <c r="N1021" s="2" t="n"/>
    </row>
    <row r="1022">
      <c r="D1022" s="2" t="n"/>
      <c r="E1022" s="3" t="n"/>
      <c r="F1022" s="3" t="n"/>
      <c r="G1022" s="3" t="n"/>
      <c r="H1022" s="4" t="n"/>
      <c r="L1022" s="2" t="n"/>
      <c r="N1022" s="2" t="n"/>
    </row>
    <row r="1023">
      <c r="D1023" s="2" t="n"/>
      <c r="E1023" s="3" t="n"/>
      <c r="F1023" s="3" t="n"/>
      <c r="G1023" s="3" t="n"/>
      <c r="H1023" s="4" t="n"/>
      <c r="L1023" s="2" t="n"/>
      <c r="N1023" s="2" t="n"/>
    </row>
    <row r="1024">
      <c r="D1024" s="2" t="n"/>
      <c r="E1024" s="3" t="n"/>
      <c r="F1024" s="3" t="n"/>
      <c r="G1024" s="3" t="n"/>
      <c r="H1024" s="4" t="n"/>
      <c r="L1024" s="2" t="n"/>
      <c r="N1024" s="2" t="n"/>
    </row>
    <row r="1025">
      <c r="D1025" s="2" t="n"/>
      <c r="E1025" s="3" t="n"/>
      <c r="F1025" s="3" t="n"/>
      <c r="G1025" s="3" t="n"/>
      <c r="H1025" s="4" t="n"/>
      <c r="L1025" s="2" t="n"/>
      <c r="N1025" s="2" t="n"/>
    </row>
    <row r="1026">
      <c r="D1026" s="2" t="n"/>
      <c r="E1026" s="3" t="n"/>
      <c r="F1026" s="3" t="n"/>
      <c r="G1026" s="3" t="n"/>
      <c r="H1026" s="4" t="n"/>
      <c r="L1026" s="2" t="n"/>
      <c r="N1026" s="2" t="n"/>
    </row>
    <row r="1027">
      <c r="D1027" s="2" t="n"/>
      <c r="E1027" s="3" t="n"/>
      <c r="F1027" s="3" t="n"/>
      <c r="G1027" s="3" t="n"/>
      <c r="H1027" s="4" t="n"/>
      <c r="L1027" s="2" t="n"/>
      <c r="N1027" s="2" t="n"/>
    </row>
    <row r="1028">
      <c r="D1028" s="2" t="n"/>
      <c r="E1028" s="3" t="n"/>
      <c r="F1028" s="3" t="n"/>
      <c r="G1028" s="3" t="n"/>
      <c r="H1028" s="4" t="n"/>
      <c r="L1028" s="2" t="n"/>
      <c r="N1028" s="2" t="n"/>
    </row>
    <row r="1029">
      <c r="D1029" s="2" t="n"/>
      <c r="E1029" s="3" t="n"/>
      <c r="F1029" s="3" t="n"/>
      <c r="G1029" s="3" t="n"/>
      <c r="H1029" s="4" t="n"/>
      <c r="L1029" s="2" t="n"/>
      <c r="N1029" s="2" t="n"/>
    </row>
    <row r="1030">
      <c r="D1030" s="2" t="n"/>
      <c r="E1030" s="3" t="n"/>
      <c r="F1030" s="3" t="n"/>
      <c r="G1030" s="3" t="n"/>
      <c r="H1030" s="4" t="n"/>
      <c r="L1030" s="2" t="n"/>
      <c r="N1030" s="2" t="n"/>
    </row>
    <row r="1031">
      <c r="D1031" s="2" t="n"/>
      <c r="E1031" s="3" t="n"/>
      <c r="F1031" s="3" t="n"/>
      <c r="G1031" s="3" t="n"/>
      <c r="H1031" s="4" t="n"/>
      <c r="L1031" s="2" t="n"/>
      <c r="N1031" s="2" t="n"/>
    </row>
    <row r="1032">
      <c r="D1032" s="2" t="n"/>
      <c r="E1032" s="3" t="n"/>
      <c r="F1032" s="3" t="n"/>
      <c r="G1032" s="3" t="n"/>
      <c r="H1032" s="4" t="n"/>
      <c r="L1032" s="2" t="n"/>
      <c r="N1032" s="2" t="n"/>
    </row>
    <row r="1033">
      <c r="D1033" s="2" t="n"/>
      <c r="E1033" s="3" t="n"/>
      <c r="F1033" s="3" t="n"/>
      <c r="G1033" s="3" t="n"/>
      <c r="H1033" s="4" t="n"/>
      <c r="L1033" s="2" t="n"/>
      <c r="N1033" s="2" t="n"/>
    </row>
    <row r="1034">
      <c r="D1034" s="2" t="n"/>
      <c r="E1034" s="3" t="n"/>
      <c r="F1034" s="3" t="n"/>
      <c r="G1034" s="3" t="n"/>
      <c r="H1034" s="4" t="n"/>
      <c r="L1034" s="2" t="n"/>
      <c r="N1034" s="2" t="n"/>
    </row>
    <row r="1035">
      <c r="D1035" s="2" t="n"/>
      <c r="E1035" s="3" t="n"/>
      <c r="F1035" s="3" t="n"/>
      <c r="G1035" s="3" t="n"/>
      <c r="H1035" s="4" t="n"/>
      <c r="L1035" s="2" t="n"/>
      <c r="N1035" s="2" t="n"/>
    </row>
    <row r="1036">
      <c r="D1036" s="2" t="n"/>
      <c r="E1036" s="3" t="n"/>
      <c r="F1036" s="3" t="n"/>
      <c r="G1036" s="3" t="n"/>
      <c r="H1036" s="4" t="n"/>
      <c r="L1036" s="2" t="n"/>
      <c r="N1036" s="2" t="n"/>
    </row>
    <row r="1037">
      <c r="D1037" s="2" t="n"/>
      <c r="E1037" s="3" t="n"/>
      <c r="F1037" s="3" t="n"/>
      <c r="G1037" s="3" t="n"/>
      <c r="H1037" s="4" t="n"/>
      <c r="L1037" s="2" t="n"/>
      <c r="N1037" s="2" t="n"/>
    </row>
    <row r="1038">
      <c r="D1038" s="2" t="n"/>
      <c r="E1038" s="3" t="n"/>
      <c r="F1038" s="3" t="n"/>
      <c r="G1038" s="3" t="n"/>
      <c r="H1038" s="4" t="n"/>
      <c r="L1038" s="2" t="n"/>
      <c r="N1038" s="2" t="n"/>
    </row>
    <row r="1039">
      <c r="D1039" s="2" t="n"/>
      <c r="E1039" s="3" t="n"/>
      <c r="F1039" s="3" t="n"/>
      <c r="G1039" s="3" t="n"/>
      <c r="H1039" s="4" t="n"/>
      <c r="L1039" s="2" t="n"/>
      <c r="N1039" s="2" t="n"/>
    </row>
    <row r="1040">
      <c r="D1040" s="2" t="n"/>
      <c r="E1040" s="3" t="n"/>
      <c r="F1040" s="3" t="n"/>
      <c r="G1040" s="3" t="n"/>
      <c r="H1040" s="4" t="n"/>
      <c r="L1040" s="2" t="n"/>
      <c r="N1040" s="2" t="n"/>
    </row>
    <row r="1041">
      <c r="D1041" s="2" t="n"/>
      <c r="E1041" s="3" t="n"/>
      <c r="F1041" s="3" t="n"/>
      <c r="G1041" s="3" t="n"/>
      <c r="H1041" s="4" t="n"/>
      <c r="L1041" s="2" t="n"/>
      <c r="N1041" s="2" t="n"/>
    </row>
    <row r="1042">
      <c r="D1042" s="2" t="n"/>
      <c r="E1042" s="3" t="n"/>
      <c r="F1042" s="3" t="n"/>
      <c r="G1042" s="3" t="n"/>
      <c r="H1042" s="4" t="n"/>
      <c r="L1042" s="2" t="n"/>
      <c r="N1042" s="2" t="n"/>
    </row>
    <row r="1043">
      <c r="D1043" s="2" t="n"/>
      <c r="E1043" s="3" t="n"/>
      <c r="F1043" s="3" t="n"/>
      <c r="G1043" s="3" t="n"/>
      <c r="H1043" s="4" t="n"/>
      <c r="L1043" s="2" t="n"/>
      <c r="N1043" s="2" t="n"/>
    </row>
    <row r="1044">
      <c r="D1044" s="2" t="n"/>
      <c r="E1044" s="3" t="n"/>
      <c r="F1044" s="3" t="n"/>
      <c r="G1044" s="3" t="n"/>
      <c r="H1044" s="4" t="n"/>
      <c r="L1044" s="2" t="n"/>
      <c r="N1044" s="2" t="n"/>
    </row>
    <row r="1045">
      <c r="D1045" s="2" t="n"/>
      <c r="E1045" s="3" t="n"/>
      <c r="F1045" s="3" t="n"/>
      <c r="G1045" s="3" t="n"/>
      <c r="H1045" s="4" t="n"/>
      <c r="L1045" s="2" t="n"/>
      <c r="N1045" s="2" t="n"/>
    </row>
    <row r="1046">
      <c r="D1046" s="2" t="n"/>
      <c r="E1046" s="3" t="n"/>
      <c r="F1046" s="3" t="n"/>
      <c r="G1046" s="3" t="n"/>
      <c r="H1046" s="4" t="n"/>
      <c r="L1046" s="2" t="n"/>
      <c r="N1046" s="2" t="n"/>
    </row>
    <row r="1047">
      <c r="D1047" s="2" t="n"/>
      <c r="E1047" s="3" t="n"/>
      <c r="F1047" s="3" t="n"/>
      <c r="G1047" s="3" t="n"/>
      <c r="H1047" s="4" t="n"/>
      <c r="L1047" s="2" t="n"/>
      <c r="N1047" s="2" t="n"/>
    </row>
    <row r="1048">
      <c r="D1048" s="2" t="n"/>
      <c r="E1048" s="3" t="n"/>
      <c r="F1048" s="3" t="n"/>
      <c r="G1048" s="3" t="n"/>
      <c r="H1048" s="4" t="n"/>
      <c r="L1048" s="2" t="n"/>
      <c r="N1048" s="2" t="n"/>
    </row>
    <row r="1049">
      <c r="D1049" s="2" t="n"/>
      <c r="E1049" s="3" t="n"/>
      <c r="F1049" s="3" t="n"/>
      <c r="G1049" s="3" t="n"/>
      <c r="H1049" s="4" t="n"/>
      <c r="L1049" s="2" t="n"/>
      <c r="N1049" s="2" t="n"/>
    </row>
    <row r="1050">
      <c r="D1050" s="2" t="n"/>
      <c r="E1050" s="3" t="n"/>
      <c r="F1050" s="3" t="n"/>
      <c r="G1050" s="3" t="n"/>
      <c r="H1050" s="4" t="n"/>
      <c r="L1050" s="2" t="n"/>
      <c r="N1050" s="2" t="n"/>
    </row>
    <row r="1051">
      <c r="D1051" s="2" t="n"/>
      <c r="E1051" s="3" t="n"/>
      <c r="F1051" s="3" t="n"/>
      <c r="G1051" s="3" t="n"/>
      <c r="H1051" s="4" t="n"/>
      <c r="L1051" s="2" t="n"/>
      <c r="N1051" s="2" t="n"/>
    </row>
    <row r="1052">
      <c r="D1052" s="2" t="n"/>
      <c r="E1052" s="3" t="n"/>
      <c r="F1052" s="3" t="n"/>
      <c r="G1052" s="3" t="n"/>
      <c r="H1052" s="4" t="n"/>
      <c r="L1052" s="2" t="n"/>
      <c r="N1052" s="2" t="n"/>
    </row>
    <row r="1053">
      <c r="D1053" s="2" t="n"/>
      <c r="E1053" s="3" t="n"/>
      <c r="F1053" s="3" t="n"/>
      <c r="G1053" s="3" t="n"/>
      <c r="H1053" s="4" t="n"/>
      <c r="L1053" s="2" t="n"/>
      <c r="N1053" s="2" t="n"/>
    </row>
    <row r="1054">
      <c r="D1054" s="2" t="n"/>
      <c r="E1054" s="3" t="n"/>
      <c r="F1054" s="3" t="n"/>
      <c r="G1054" s="3" t="n"/>
      <c r="H1054" s="4" t="n"/>
      <c r="L1054" s="2" t="n"/>
      <c r="N1054" s="2" t="n"/>
    </row>
    <row r="1055">
      <c r="D1055" s="2" t="n"/>
      <c r="E1055" s="3" t="n"/>
      <c r="F1055" s="3" t="n"/>
      <c r="G1055" s="3" t="n"/>
      <c r="H1055" s="4" t="n"/>
      <c r="L1055" s="2" t="n"/>
      <c r="N1055" s="2" t="n"/>
    </row>
    <row r="1056">
      <c r="D1056" s="2" t="n"/>
      <c r="E1056" s="3" t="n"/>
      <c r="F1056" s="3" t="n"/>
      <c r="G1056" s="3" t="n"/>
      <c r="H1056" s="4" t="n"/>
      <c r="L1056" s="2" t="n"/>
      <c r="N1056" s="2" t="n"/>
    </row>
    <row r="1057">
      <c r="D1057" s="2" t="n"/>
      <c r="E1057" s="3" t="n"/>
      <c r="F1057" s="3" t="n"/>
      <c r="G1057" s="3" t="n"/>
      <c r="H1057" s="4" t="n"/>
      <c r="L1057" s="2" t="n"/>
      <c r="N1057" s="2" t="n"/>
    </row>
    <row r="1058">
      <c r="D1058" s="2" t="n"/>
      <c r="E1058" s="3" t="n"/>
      <c r="F1058" s="3" t="n"/>
      <c r="G1058" s="3" t="n"/>
      <c r="H1058" s="4" t="n"/>
      <c r="L1058" s="2" t="n"/>
      <c r="N1058" s="2" t="n"/>
    </row>
    <row r="1059">
      <c r="D1059" s="2" t="n"/>
      <c r="E1059" s="3" t="n"/>
      <c r="F1059" s="3" t="n"/>
      <c r="G1059" s="3" t="n"/>
      <c r="H1059" s="4" t="n"/>
      <c r="L1059" s="2" t="n"/>
      <c r="N1059" s="2" t="n"/>
    </row>
    <row r="1060">
      <c r="D1060" s="2" t="n"/>
      <c r="E1060" s="3" t="n"/>
      <c r="F1060" s="3" t="n"/>
      <c r="G1060" s="3" t="n"/>
      <c r="H1060" s="4" t="n"/>
      <c r="L1060" s="2" t="n"/>
      <c r="N1060" s="2" t="n"/>
    </row>
    <row r="1061">
      <c r="D1061" s="2" t="n"/>
      <c r="E1061" s="3" t="n"/>
      <c r="F1061" s="3" t="n"/>
      <c r="G1061" s="3" t="n"/>
      <c r="H1061" s="4" t="n"/>
      <c r="L1061" s="2" t="n"/>
      <c r="N1061" s="2" t="n"/>
    </row>
    <row r="1062">
      <c r="D1062" s="2" t="n"/>
      <c r="E1062" s="3" t="n"/>
      <c r="F1062" s="3" t="n"/>
      <c r="G1062" s="3" t="n"/>
      <c r="H1062" s="4" t="n"/>
      <c r="L1062" s="2" t="n"/>
      <c r="N1062" s="2" t="n"/>
    </row>
    <row r="1063">
      <c r="D1063" s="2" t="n"/>
      <c r="E1063" s="3" t="n"/>
      <c r="F1063" s="3" t="n"/>
      <c r="G1063" s="3" t="n"/>
      <c r="H1063" s="4" t="n"/>
      <c r="L1063" s="2" t="n"/>
      <c r="N1063" s="2" t="n"/>
    </row>
    <row r="1064">
      <c r="D1064" s="2" t="n"/>
      <c r="E1064" s="3" t="n"/>
      <c r="F1064" s="3" t="n"/>
      <c r="G1064" s="3" t="n"/>
      <c r="H1064" s="4" t="n"/>
      <c r="L1064" s="2" t="n"/>
      <c r="N1064" s="2" t="n"/>
    </row>
    <row r="1065">
      <c r="D1065" s="2" t="n"/>
      <c r="E1065" s="3" t="n"/>
      <c r="F1065" s="3" t="n"/>
      <c r="G1065" s="3" t="n"/>
      <c r="H1065" s="4" t="n"/>
      <c r="L1065" s="2" t="n"/>
      <c r="N1065" s="2" t="n"/>
    </row>
    <row r="1066">
      <c r="D1066" s="2" t="n"/>
      <c r="E1066" s="3" t="n"/>
      <c r="F1066" s="3" t="n"/>
      <c r="G1066" s="3" t="n"/>
      <c r="H1066" s="4" t="n"/>
      <c r="L1066" s="2" t="n"/>
      <c r="N1066" s="2" t="n"/>
    </row>
    <row r="1067">
      <c r="D1067" s="2" t="n"/>
      <c r="E1067" s="3" t="n"/>
      <c r="F1067" s="3" t="n"/>
      <c r="G1067" s="3" t="n"/>
      <c r="H1067" s="4" t="n"/>
      <c r="L1067" s="2" t="n"/>
      <c r="N1067" s="2" t="n"/>
    </row>
    <row r="1068">
      <c r="D1068" s="2" t="n"/>
      <c r="E1068" s="3" t="n"/>
      <c r="F1068" s="3" t="n"/>
      <c r="G1068" s="3" t="n"/>
      <c r="H1068" s="4" t="n"/>
      <c r="L1068" s="2" t="n"/>
      <c r="N1068" s="2" t="n"/>
    </row>
    <row r="1069">
      <c r="D1069" s="2" t="n"/>
      <c r="E1069" s="3" t="n"/>
      <c r="F1069" s="3" t="n"/>
      <c r="G1069" s="3" t="n"/>
      <c r="H1069" s="4" t="n"/>
      <c r="L1069" s="2" t="n"/>
      <c r="N1069" s="2" t="n"/>
    </row>
    <row r="1070">
      <c r="D1070" s="2" t="n"/>
      <c r="E1070" s="3" t="n"/>
      <c r="F1070" s="3" t="n"/>
      <c r="G1070" s="3" t="n"/>
      <c r="H1070" s="4" t="n"/>
      <c r="L1070" s="2" t="n"/>
      <c r="N1070" s="2" t="n"/>
    </row>
    <row r="1071">
      <c r="D1071" s="2" t="n"/>
      <c r="E1071" s="3" t="n"/>
      <c r="F1071" s="3" t="n"/>
      <c r="G1071" s="3" t="n"/>
      <c r="H1071" s="4" t="n"/>
      <c r="L1071" s="2" t="n"/>
      <c r="N1071" s="2" t="n"/>
    </row>
    <row r="1072">
      <c r="D1072" s="2" t="n"/>
      <c r="E1072" s="3" t="n"/>
      <c r="F1072" s="3" t="n"/>
      <c r="G1072" s="3" t="n"/>
      <c r="H1072" s="4" t="n"/>
      <c r="L1072" s="2" t="n"/>
      <c r="N1072" s="2" t="n"/>
    </row>
    <row r="1073">
      <c r="D1073" s="2" t="n"/>
      <c r="E1073" s="3" t="n"/>
      <c r="F1073" s="3" t="n"/>
      <c r="G1073" s="3" t="n"/>
      <c r="H1073" s="4" t="n"/>
      <c r="L1073" s="2" t="n"/>
      <c r="N1073" s="2" t="n"/>
    </row>
    <row r="1074">
      <c r="D1074" s="2" t="n"/>
      <c r="E1074" s="3" t="n"/>
      <c r="F1074" s="3" t="n"/>
      <c r="G1074" s="3" t="n"/>
      <c r="H1074" s="4" t="n"/>
      <c r="L1074" s="2" t="n"/>
      <c r="N1074" s="2" t="n"/>
    </row>
    <row r="1075">
      <c r="D1075" s="2" t="n"/>
      <c r="E1075" s="3" t="n"/>
      <c r="F1075" s="3" t="n"/>
      <c r="G1075" s="3" t="n"/>
      <c r="H1075" s="4" t="n"/>
      <c r="L1075" s="2" t="n"/>
      <c r="N1075" s="2" t="n"/>
    </row>
    <row r="1076">
      <c r="D1076" s="2" t="n"/>
      <c r="E1076" s="3" t="n"/>
      <c r="F1076" s="3" t="n"/>
      <c r="G1076" s="3" t="n"/>
      <c r="H1076" s="4" t="n"/>
      <c r="L1076" s="2" t="n"/>
      <c r="N1076" s="2" t="n"/>
    </row>
    <row r="1077">
      <c r="D1077" s="2" t="n"/>
      <c r="E1077" s="3" t="n"/>
      <c r="F1077" s="3" t="n"/>
      <c r="G1077" s="3" t="n"/>
      <c r="H1077" s="4" t="n"/>
      <c r="L1077" s="2" t="n"/>
      <c r="N1077" s="2" t="n"/>
    </row>
    <row r="1078">
      <c r="D1078" s="2" t="n"/>
      <c r="E1078" s="3" t="n"/>
      <c r="F1078" s="3" t="n"/>
      <c r="G1078" s="3" t="n"/>
      <c r="H1078" s="4" t="n"/>
      <c r="L1078" s="2" t="n"/>
      <c r="N1078" s="2" t="n"/>
    </row>
    <row r="1079">
      <c r="D1079" s="2" t="n"/>
      <c r="E1079" s="3" t="n"/>
      <c r="F1079" s="3" t="n"/>
      <c r="G1079" s="3" t="n"/>
      <c r="H1079" s="4" t="n"/>
      <c r="L1079" s="2" t="n"/>
      <c r="N1079" s="2" t="n"/>
    </row>
    <row r="1080">
      <c r="D1080" s="2" t="n"/>
      <c r="E1080" s="3" t="n"/>
      <c r="F1080" s="3" t="n"/>
      <c r="G1080" s="3" t="n"/>
      <c r="H1080" s="4" t="n"/>
      <c r="L1080" s="2" t="n"/>
      <c r="N1080" s="2" t="n"/>
    </row>
    <row r="1081">
      <c r="D1081" s="2" t="n"/>
      <c r="E1081" s="3" t="n"/>
      <c r="F1081" s="3" t="n"/>
      <c r="G1081" s="3" t="n"/>
      <c r="H1081" s="4" t="n"/>
      <c r="L1081" s="2" t="n"/>
      <c r="N1081" s="2" t="n"/>
    </row>
    <row r="1082">
      <c r="D1082" s="2" t="n"/>
      <c r="E1082" s="3" t="n"/>
      <c r="F1082" s="3" t="n"/>
      <c r="G1082" s="3" t="n"/>
      <c r="H1082" s="4" t="n"/>
      <c r="L1082" s="2" t="n"/>
      <c r="N1082" s="2" t="n"/>
    </row>
    <row r="1083">
      <c r="D1083" s="2" t="n"/>
      <c r="E1083" s="3" t="n"/>
      <c r="F1083" s="3" t="n"/>
      <c r="G1083" s="3" t="n"/>
      <c r="H1083" s="4" t="n"/>
      <c r="L1083" s="2" t="n"/>
      <c r="N1083" s="2" t="n"/>
    </row>
    <row r="1084">
      <c r="D1084" s="2" t="n"/>
      <c r="E1084" s="3" t="n"/>
      <c r="F1084" s="3" t="n"/>
      <c r="G1084" s="3" t="n"/>
      <c r="H1084" s="4" t="n"/>
      <c r="L1084" s="2" t="n"/>
      <c r="N1084" s="2" t="n"/>
    </row>
    <row r="1085">
      <c r="D1085" s="2" t="n"/>
      <c r="E1085" s="3" t="n"/>
      <c r="F1085" s="3" t="n"/>
      <c r="G1085" s="3" t="n"/>
      <c r="H1085" s="4" t="n"/>
      <c r="L1085" s="2" t="n"/>
      <c r="N1085" s="2" t="n"/>
    </row>
    <row r="1086">
      <c r="D1086" s="2" t="n"/>
      <c r="E1086" s="3" t="n"/>
      <c r="F1086" s="3" t="n"/>
      <c r="G1086" s="3" t="n"/>
      <c r="H1086" s="4" t="n"/>
      <c r="L1086" s="2" t="n"/>
      <c r="N1086" s="2" t="n"/>
    </row>
    <row r="1087">
      <c r="D1087" s="2" t="n"/>
      <c r="E1087" s="3" t="n"/>
      <c r="F1087" s="3" t="n"/>
      <c r="G1087" s="3" t="n"/>
      <c r="H1087" s="4" t="n"/>
      <c r="L1087" s="2" t="n"/>
      <c r="N1087" s="2" t="n"/>
    </row>
    <row r="1088">
      <c r="D1088" s="2" t="n"/>
      <c r="E1088" s="3" t="n"/>
      <c r="F1088" s="3" t="n"/>
      <c r="G1088" s="3" t="n"/>
      <c r="H1088" s="4" t="n"/>
      <c r="L1088" s="2" t="n"/>
      <c r="N1088" s="2" t="n"/>
    </row>
    <row r="1089">
      <c r="D1089" s="2" t="n"/>
      <c r="E1089" s="3" t="n"/>
      <c r="F1089" s="3" t="n"/>
      <c r="G1089" s="3" t="n"/>
      <c r="H1089" s="4" t="n"/>
      <c r="L1089" s="2" t="n"/>
      <c r="N1089" s="2" t="n"/>
    </row>
    <row r="1090">
      <c r="D1090" s="2" t="n"/>
      <c r="E1090" s="3" t="n"/>
      <c r="F1090" s="3" t="n"/>
      <c r="G1090" s="3" t="n"/>
      <c r="H1090" s="4" t="n"/>
      <c r="L1090" s="2" t="n"/>
      <c r="N1090" s="2" t="n"/>
    </row>
    <row r="1091">
      <c r="D1091" s="2" t="n"/>
      <c r="E1091" s="3" t="n"/>
      <c r="F1091" s="3" t="n"/>
      <c r="G1091" s="3" t="n"/>
      <c r="H1091" s="4" t="n"/>
      <c r="L1091" s="2" t="n"/>
      <c r="N1091" s="2" t="n"/>
    </row>
    <row r="1092">
      <c r="D1092" s="2" t="n"/>
      <c r="E1092" s="3" t="n"/>
      <c r="F1092" s="3" t="n"/>
      <c r="G1092" s="3" t="n"/>
      <c r="H1092" s="4" t="n"/>
      <c r="L1092" s="2" t="n"/>
      <c r="N1092" s="2" t="n"/>
    </row>
    <row r="1093">
      <c r="D1093" s="2" t="n"/>
      <c r="E1093" s="3" t="n"/>
      <c r="F1093" s="3" t="n"/>
      <c r="G1093" s="3" t="n"/>
      <c r="H1093" s="4" t="n"/>
      <c r="L1093" s="2" t="n"/>
      <c r="N1093" s="2" t="n"/>
    </row>
    <row r="1094">
      <c r="D1094" s="2" t="n"/>
      <c r="E1094" s="3" t="n"/>
      <c r="F1094" s="3" t="n"/>
      <c r="G1094" s="3" t="n"/>
      <c r="H1094" s="4" t="n"/>
      <c r="L1094" s="2" t="n"/>
      <c r="N1094" s="2" t="n"/>
    </row>
    <row r="1095">
      <c r="D1095" s="2" t="n"/>
      <c r="E1095" s="3" t="n"/>
      <c r="F1095" s="3" t="n"/>
      <c r="G1095" s="3" t="n"/>
      <c r="H1095" s="4" t="n"/>
      <c r="L1095" s="2" t="n"/>
      <c r="N1095" s="2" t="n"/>
    </row>
    <row r="1096">
      <c r="D1096" s="2" t="n"/>
      <c r="E1096" s="3" t="n"/>
      <c r="F1096" s="3" t="n"/>
      <c r="G1096" s="3" t="n"/>
      <c r="H1096" s="4" t="n"/>
      <c r="L1096" s="2" t="n"/>
      <c r="N1096" s="2" t="n"/>
    </row>
    <row r="1097">
      <c r="D1097" s="2" t="n"/>
      <c r="E1097" s="3" t="n"/>
      <c r="F1097" s="3" t="n"/>
      <c r="G1097" s="3" t="n"/>
      <c r="H1097" s="4" t="n"/>
      <c r="L1097" s="2" t="n"/>
      <c r="N1097" s="2" t="n"/>
    </row>
    <row r="1098">
      <c r="D1098" s="2" t="n"/>
      <c r="E1098" s="3" t="n"/>
      <c r="F1098" s="3" t="n"/>
      <c r="G1098" s="3" t="n"/>
      <c r="H1098" s="4" t="n"/>
      <c r="L1098" s="2" t="n"/>
      <c r="N1098" s="2" t="n"/>
    </row>
    <row r="1099">
      <c r="D1099" s="2" t="n"/>
      <c r="E1099" s="3" t="n"/>
      <c r="F1099" s="3" t="n"/>
      <c r="G1099" s="3" t="n"/>
      <c r="H1099" s="4" t="n"/>
      <c r="L1099" s="2" t="n"/>
      <c r="N1099" s="2" t="n"/>
    </row>
    <row r="1100">
      <c r="D1100" s="2" t="n"/>
      <c r="E1100" s="3" t="n"/>
      <c r="F1100" s="3" t="n"/>
      <c r="G1100" s="3" t="n"/>
      <c r="H1100" s="4" t="n"/>
      <c r="L1100" s="2" t="n"/>
      <c r="N1100" s="2" t="n"/>
    </row>
    <row r="1101">
      <c r="D1101" s="2" t="n"/>
      <c r="E1101" s="3" t="n"/>
      <c r="F1101" s="3" t="n"/>
      <c r="G1101" s="3" t="n"/>
      <c r="H1101" s="4" t="n"/>
      <c r="L1101" s="2" t="n"/>
      <c r="N1101" s="2" t="n"/>
    </row>
    <row r="1102">
      <c r="D1102" s="2" t="n"/>
      <c r="E1102" s="3" t="n"/>
      <c r="F1102" s="3" t="n"/>
      <c r="G1102" s="3" t="n"/>
      <c r="H1102" s="4" t="n"/>
      <c r="L1102" s="2" t="n"/>
      <c r="N1102" s="2" t="n"/>
    </row>
    <row r="1103">
      <c r="D1103" s="2" t="n"/>
      <c r="E1103" s="3" t="n"/>
      <c r="F1103" s="3" t="n"/>
      <c r="G1103" s="3" t="n"/>
      <c r="H1103" s="4" t="n"/>
      <c r="L1103" s="2" t="n"/>
      <c r="N1103" s="2" t="n"/>
    </row>
    <row r="1104">
      <c r="D1104" s="2" t="n"/>
      <c r="E1104" s="3" t="n"/>
      <c r="F1104" s="3" t="n"/>
      <c r="G1104" s="3" t="n"/>
      <c r="H1104" s="4" t="n"/>
      <c r="L1104" s="2" t="n"/>
      <c r="N1104" s="2" t="n"/>
    </row>
    <row r="1105">
      <c r="D1105" s="2" t="n"/>
      <c r="E1105" s="3" t="n"/>
      <c r="F1105" s="3" t="n"/>
      <c r="G1105" s="3" t="n"/>
      <c r="H1105" s="4" t="n"/>
      <c r="L1105" s="2" t="n"/>
      <c r="N1105" s="2" t="n"/>
    </row>
    <row r="1106">
      <c r="D1106" s="2" t="n"/>
      <c r="E1106" s="3" t="n"/>
      <c r="F1106" s="3" t="n"/>
      <c r="G1106" s="3" t="n"/>
      <c r="H1106" s="4" t="n"/>
      <c r="L1106" s="2" t="n"/>
      <c r="N1106" s="2" t="n"/>
    </row>
    <row r="1107">
      <c r="D1107" s="2" t="n"/>
      <c r="E1107" s="3" t="n"/>
      <c r="F1107" s="3" t="n"/>
      <c r="G1107" s="3" t="n"/>
      <c r="H1107" s="4" t="n"/>
      <c r="L1107" s="2" t="n"/>
      <c r="N1107" s="2" t="n"/>
    </row>
    <row r="1108">
      <c r="D1108" s="2" t="n"/>
      <c r="E1108" s="3" t="n"/>
      <c r="F1108" s="3" t="n"/>
      <c r="G1108" s="3" t="n"/>
      <c r="H1108" s="4" t="n"/>
      <c r="L1108" s="2" t="n"/>
      <c r="N1108" s="2" t="n"/>
    </row>
    <row r="1109">
      <c r="D1109" s="2" t="n"/>
      <c r="E1109" s="3" t="n"/>
      <c r="F1109" s="3" t="n"/>
      <c r="G1109" s="3" t="n"/>
      <c r="H1109" s="4" t="n"/>
      <c r="L1109" s="2" t="n"/>
      <c r="N1109" s="2" t="n"/>
    </row>
    <row r="1110">
      <c r="D1110" s="2" t="n"/>
      <c r="E1110" s="3" t="n"/>
      <c r="F1110" s="3" t="n"/>
      <c r="G1110" s="3" t="n"/>
      <c r="H1110" s="4" t="n"/>
      <c r="L1110" s="2" t="n"/>
      <c r="N1110" s="2" t="n"/>
    </row>
    <row r="1111">
      <c r="D1111" s="2" t="n"/>
      <c r="E1111" s="3" t="n"/>
      <c r="F1111" s="3" t="n"/>
      <c r="G1111" s="3" t="n"/>
      <c r="H1111" s="4" t="n"/>
      <c r="L1111" s="2" t="n"/>
      <c r="N1111" s="2" t="n"/>
    </row>
    <row r="1112">
      <c r="D1112" s="2" t="n"/>
      <c r="E1112" s="3" t="n"/>
      <c r="F1112" s="3" t="n"/>
      <c r="G1112" s="3" t="n"/>
      <c r="H1112" s="4" t="n"/>
      <c r="L1112" s="2" t="n"/>
      <c r="N1112" s="2" t="n"/>
    </row>
    <row r="1113">
      <c r="D1113" s="2" t="n"/>
      <c r="E1113" s="3" t="n"/>
      <c r="F1113" s="3" t="n"/>
      <c r="G1113" s="3" t="n"/>
      <c r="H1113" s="4" t="n"/>
      <c r="L1113" s="2" t="n"/>
      <c r="N1113" s="2" t="n"/>
    </row>
    <row r="1114">
      <c r="D1114" s="2" t="n"/>
      <c r="E1114" s="3" t="n"/>
      <c r="F1114" s="3" t="n"/>
      <c r="G1114" s="3" t="n"/>
      <c r="H1114" s="4" t="n"/>
      <c r="L1114" s="2" t="n"/>
      <c r="N1114" s="2" t="n"/>
    </row>
    <row r="1115">
      <c r="D1115" s="2" t="n"/>
      <c r="E1115" s="3" t="n"/>
      <c r="F1115" s="3" t="n"/>
      <c r="G1115" s="3" t="n"/>
      <c r="H1115" s="4" t="n"/>
      <c r="L1115" s="2" t="n"/>
      <c r="N1115" s="2" t="n"/>
    </row>
    <row r="1116">
      <c r="D1116" s="2" t="n"/>
      <c r="E1116" s="3" t="n"/>
      <c r="F1116" s="3" t="n"/>
      <c r="G1116" s="3" t="n"/>
      <c r="H1116" s="4" t="n"/>
      <c r="L1116" s="2" t="n"/>
      <c r="N1116" s="2" t="n"/>
    </row>
    <row r="1117">
      <c r="D1117" s="2" t="n"/>
      <c r="E1117" s="3" t="n"/>
      <c r="F1117" s="3" t="n"/>
      <c r="G1117" s="3" t="n"/>
      <c r="H1117" s="4" t="n"/>
      <c r="L1117" s="2" t="n"/>
      <c r="N1117" s="2" t="n"/>
    </row>
    <row r="1118">
      <c r="D1118" s="2" t="n"/>
      <c r="E1118" s="3" t="n"/>
      <c r="F1118" s="3" t="n"/>
      <c r="G1118" s="3" t="n"/>
      <c r="H1118" s="4" t="n"/>
      <c r="L1118" s="2" t="n"/>
      <c r="N1118" s="2" t="n"/>
    </row>
    <row r="1119">
      <c r="D1119" s="2" t="n"/>
      <c r="E1119" s="3" t="n"/>
      <c r="F1119" s="3" t="n"/>
      <c r="G1119" s="3" t="n"/>
      <c r="H1119" s="4" t="n"/>
      <c r="L1119" s="2" t="n"/>
      <c r="N1119" s="2" t="n"/>
    </row>
    <row r="1120">
      <c r="D1120" s="2" t="n"/>
      <c r="E1120" s="3" t="n"/>
      <c r="F1120" s="3" t="n"/>
      <c r="G1120" s="3" t="n"/>
      <c r="H1120" s="4" t="n"/>
      <c r="L1120" s="2" t="n"/>
      <c r="N1120" s="2" t="n"/>
    </row>
    <row r="1121">
      <c r="D1121" s="2" t="n"/>
      <c r="E1121" s="3" t="n"/>
      <c r="F1121" s="3" t="n"/>
      <c r="G1121" s="3" t="n"/>
      <c r="H1121" s="4" t="n"/>
      <c r="L1121" s="2" t="n"/>
      <c r="N1121" s="2" t="n"/>
    </row>
    <row r="1122">
      <c r="D1122" s="2" t="n"/>
      <c r="E1122" s="3" t="n"/>
      <c r="F1122" s="3" t="n"/>
      <c r="G1122" s="3" t="n"/>
      <c r="H1122" s="4" t="n"/>
      <c r="L1122" s="2" t="n"/>
      <c r="N1122" s="2" t="n"/>
    </row>
    <row r="1123">
      <c r="D1123" s="2" t="n"/>
      <c r="E1123" s="3" t="n"/>
      <c r="F1123" s="3" t="n"/>
      <c r="G1123" s="3" t="n"/>
      <c r="H1123" s="4" t="n"/>
      <c r="L1123" s="2" t="n"/>
      <c r="N1123" s="2" t="n"/>
    </row>
    <row r="1124">
      <c r="D1124" s="2" t="n"/>
      <c r="E1124" s="3" t="n"/>
      <c r="F1124" s="3" t="n"/>
      <c r="G1124" s="3" t="n"/>
      <c r="H1124" s="4" t="n"/>
      <c r="L1124" s="2" t="n"/>
      <c r="N1124" s="2" t="n"/>
    </row>
    <row r="1125">
      <c r="D1125" s="2" t="n"/>
      <c r="E1125" s="3" t="n"/>
      <c r="F1125" s="3" t="n"/>
      <c r="G1125" s="3" t="n"/>
      <c r="H1125" s="4" t="n"/>
      <c r="L1125" s="2" t="n"/>
      <c r="N1125" s="2" t="n"/>
    </row>
    <row r="1126">
      <c r="D1126" s="2" t="n"/>
      <c r="E1126" s="3" t="n"/>
      <c r="F1126" s="3" t="n"/>
      <c r="G1126" s="3" t="n"/>
      <c r="H1126" s="4" t="n"/>
      <c r="L1126" s="2" t="n"/>
      <c r="N1126" s="2" t="n"/>
    </row>
    <row r="1127">
      <c r="D1127" s="2" t="n"/>
      <c r="E1127" s="3" t="n"/>
      <c r="F1127" s="3" t="n"/>
      <c r="G1127" s="3" t="n"/>
      <c r="H1127" s="4" t="n"/>
      <c r="L1127" s="2" t="n"/>
      <c r="N1127" s="2" t="n"/>
    </row>
    <row r="1128">
      <c r="D1128" s="2" t="n"/>
      <c r="E1128" s="3" t="n"/>
      <c r="F1128" s="3" t="n"/>
      <c r="G1128" s="3" t="n"/>
      <c r="H1128" s="4" t="n"/>
      <c r="L1128" s="2" t="n"/>
      <c r="N1128" s="2" t="n"/>
    </row>
    <row r="1129">
      <c r="D1129" s="2" t="n"/>
      <c r="E1129" s="3" t="n"/>
      <c r="F1129" s="3" t="n"/>
      <c r="G1129" s="3" t="n"/>
      <c r="H1129" s="4" t="n"/>
      <c r="L1129" s="2" t="n"/>
      <c r="N1129" s="2" t="n"/>
    </row>
    <row r="1130">
      <c r="D1130" s="2" t="n"/>
      <c r="E1130" s="3" t="n"/>
      <c r="F1130" s="3" t="n"/>
      <c r="G1130" s="3" t="n"/>
      <c r="H1130" s="4" t="n"/>
      <c r="L1130" s="2" t="n"/>
      <c r="N1130" s="2" t="n"/>
    </row>
    <row r="1131">
      <c r="D1131" s="2" t="n"/>
      <c r="E1131" s="3" t="n"/>
      <c r="F1131" s="3" t="n"/>
      <c r="G1131" s="3" t="n"/>
      <c r="H1131" s="4" t="n"/>
      <c r="L1131" s="2" t="n"/>
      <c r="N1131" s="2" t="n"/>
    </row>
    <row r="1132">
      <c r="D1132" s="2" t="n"/>
      <c r="E1132" s="3" t="n"/>
      <c r="F1132" s="3" t="n"/>
      <c r="G1132" s="3" t="n"/>
      <c r="H1132" s="4" t="n"/>
      <c r="L1132" s="2" t="n"/>
      <c r="N1132" s="2" t="n"/>
    </row>
    <row r="1133">
      <c r="D1133" s="2" t="n"/>
      <c r="E1133" s="3" t="n"/>
      <c r="F1133" s="3" t="n"/>
      <c r="G1133" s="3" t="n"/>
      <c r="H1133" s="4" t="n"/>
      <c r="L1133" s="2" t="n"/>
      <c r="N1133" s="2" t="n"/>
    </row>
    <row r="1134">
      <c r="D1134" s="2" t="n"/>
      <c r="E1134" s="3" t="n"/>
      <c r="F1134" s="3" t="n"/>
      <c r="G1134" s="3" t="n"/>
      <c r="H1134" s="4" t="n"/>
      <c r="L1134" s="2" t="n"/>
      <c r="N1134" s="2" t="n"/>
    </row>
    <row r="1135">
      <c r="D1135" s="2" t="n"/>
      <c r="E1135" s="3" t="n"/>
      <c r="F1135" s="3" t="n"/>
      <c r="G1135" s="3" t="n"/>
      <c r="H1135" s="4" t="n"/>
      <c r="L1135" s="2" t="n"/>
      <c r="N1135" s="2" t="n"/>
    </row>
    <row r="1136">
      <c r="D1136" s="2" t="n"/>
      <c r="E1136" s="3" t="n"/>
      <c r="F1136" s="3" t="n"/>
      <c r="G1136" s="3" t="n"/>
      <c r="H1136" s="4" t="n"/>
      <c r="L1136" s="2" t="n"/>
      <c r="N1136" s="2" t="n"/>
    </row>
    <row r="1137">
      <c r="D1137" s="2" t="n"/>
      <c r="E1137" s="3" t="n"/>
      <c r="F1137" s="3" t="n"/>
      <c r="G1137" s="3" t="n"/>
      <c r="H1137" s="4" t="n"/>
      <c r="L1137" s="2" t="n"/>
      <c r="N1137" s="2" t="n"/>
    </row>
    <row r="1138">
      <c r="D1138" s="2" t="n"/>
      <c r="E1138" s="3" t="n"/>
      <c r="F1138" s="3" t="n"/>
      <c r="G1138" s="3" t="n"/>
      <c r="H1138" s="4" t="n"/>
      <c r="L1138" s="2" t="n"/>
      <c r="N1138" s="2" t="n"/>
    </row>
    <row r="1139">
      <c r="D1139" s="2" t="n"/>
      <c r="E1139" s="3" t="n"/>
      <c r="F1139" s="3" t="n"/>
      <c r="G1139" s="3" t="n"/>
      <c r="H1139" s="4" t="n"/>
      <c r="L1139" s="2" t="n"/>
      <c r="N1139" s="2" t="n"/>
    </row>
    <row r="1140">
      <c r="D1140" s="2" t="n"/>
      <c r="E1140" s="3" t="n"/>
      <c r="F1140" s="3" t="n"/>
      <c r="G1140" s="3" t="n"/>
      <c r="H1140" s="4" t="n"/>
      <c r="L1140" s="2" t="n"/>
      <c r="N1140" s="2" t="n"/>
    </row>
    <row r="1141">
      <c r="D1141" s="2" t="n"/>
      <c r="E1141" s="3" t="n"/>
      <c r="F1141" s="3" t="n"/>
      <c r="G1141" s="3" t="n"/>
      <c r="H1141" s="4" t="n"/>
      <c r="L1141" s="2" t="n"/>
      <c r="N1141" s="2" t="n"/>
    </row>
    <row r="1142">
      <c r="D1142" s="2" t="n"/>
      <c r="E1142" s="3" t="n"/>
      <c r="F1142" s="3" t="n"/>
      <c r="G1142" s="3" t="n"/>
      <c r="H1142" s="4" t="n"/>
      <c r="L1142" s="2" t="n"/>
      <c r="N1142" s="2" t="n"/>
    </row>
    <row r="1143">
      <c r="D1143" s="2" t="n"/>
      <c r="E1143" s="3" t="n"/>
      <c r="F1143" s="3" t="n"/>
      <c r="G1143" s="3" t="n"/>
      <c r="H1143" s="4" t="n"/>
      <c r="L1143" s="2" t="n"/>
      <c r="N1143" s="2" t="n"/>
    </row>
    <row r="1144">
      <c r="D1144" s="2" t="n"/>
      <c r="E1144" s="3" t="n"/>
      <c r="F1144" s="3" t="n"/>
      <c r="G1144" s="3" t="n"/>
      <c r="H1144" s="4" t="n"/>
      <c r="L1144" s="2" t="n"/>
      <c r="N1144" s="2" t="n"/>
    </row>
    <row r="1145">
      <c r="D1145" s="2" t="n"/>
      <c r="E1145" s="3" t="n"/>
      <c r="F1145" s="3" t="n"/>
      <c r="G1145" s="3" t="n"/>
      <c r="H1145" s="4" t="n"/>
      <c r="L1145" s="2" t="n"/>
      <c r="N1145" s="2" t="n"/>
    </row>
    <row r="1146">
      <c r="D1146" s="2" t="n"/>
      <c r="E1146" s="3" t="n"/>
      <c r="F1146" s="3" t="n"/>
      <c r="G1146" s="3" t="n"/>
      <c r="H1146" s="4" t="n"/>
      <c r="L1146" s="2" t="n"/>
      <c r="N1146" s="2" t="n"/>
    </row>
    <row r="1147">
      <c r="D1147" s="2" t="n"/>
      <c r="E1147" s="3" t="n"/>
      <c r="F1147" s="3" t="n"/>
      <c r="G1147" s="3" t="n"/>
      <c r="H1147" s="4" t="n"/>
      <c r="L1147" s="2" t="n"/>
      <c r="N1147" s="2" t="n"/>
    </row>
    <row r="1148">
      <c r="D1148" s="2" t="n"/>
      <c r="E1148" s="3" t="n"/>
      <c r="F1148" s="3" t="n"/>
      <c r="G1148" s="3" t="n"/>
      <c r="H1148" s="4" t="n"/>
      <c r="L1148" s="2" t="n"/>
      <c r="N1148" s="2" t="n"/>
    </row>
    <row r="1149">
      <c r="D1149" s="2" t="n"/>
      <c r="E1149" s="3" t="n"/>
      <c r="F1149" s="3" t="n"/>
      <c r="G1149" s="3" t="n"/>
      <c r="H1149" s="4" t="n"/>
      <c r="L1149" s="2" t="n"/>
      <c r="N1149" s="2" t="n"/>
    </row>
    <row r="1150">
      <c r="D1150" s="2" t="n"/>
      <c r="E1150" s="3" t="n"/>
      <c r="F1150" s="3" t="n"/>
      <c r="G1150" s="3" t="n"/>
      <c r="H1150" s="4" t="n"/>
      <c r="L1150" s="2" t="n"/>
      <c r="N1150" s="2" t="n"/>
    </row>
    <row r="1151">
      <c r="D1151" s="2" t="n"/>
      <c r="E1151" s="3" t="n"/>
      <c r="F1151" s="3" t="n"/>
      <c r="G1151" s="3" t="n"/>
      <c r="H1151" s="4" t="n"/>
      <c r="L1151" s="2" t="n"/>
      <c r="N1151" s="2" t="n"/>
    </row>
    <row r="1152">
      <c r="D1152" s="2" t="n"/>
      <c r="E1152" s="3" t="n"/>
      <c r="F1152" s="3" t="n"/>
      <c r="G1152" s="3" t="n"/>
      <c r="H1152" s="4" t="n"/>
      <c r="L1152" s="2" t="n"/>
      <c r="N1152" s="2" t="n"/>
    </row>
    <row r="1153">
      <c r="D1153" s="2" t="n"/>
      <c r="E1153" s="3" t="n"/>
      <c r="F1153" s="3" t="n"/>
      <c r="G1153" s="3" t="n"/>
      <c r="H1153" s="4" t="n"/>
      <c r="L1153" s="2" t="n"/>
      <c r="N1153" s="2" t="n"/>
    </row>
    <row r="1154">
      <c r="D1154" s="2" t="n"/>
      <c r="E1154" s="3" t="n"/>
      <c r="F1154" s="3" t="n"/>
      <c r="G1154" s="3" t="n"/>
      <c r="H1154" s="4" t="n"/>
      <c r="L1154" s="2" t="n"/>
      <c r="N1154" s="2" t="n"/>
    </row>
    <row r="1155">
      <c r="D1155" s="2" t="n"/>
      <c r="E1155" s="3" t="n"/>
      <c r="F1155" s="3" t="n"/>
      <c r="G1155" s="3" t="n"/>
      <c r="H1155" s="4" t="n"/>
      <c r="L1155" s="2" t="n"/>
      <c r="N1155" s="2" t="n"/>
    </row>
    <row r="1156">
      <c r="D1156" s="2" t="n"/>
      <c r="E1156" s="3" t="n"/>
      <c r="F1156" s="3" t="n"/>
      <c r="G1156" s="3" t="n"/>
      <c r="H1156" s="4" t="n"/>
      <c r="L1156" s="2" t="n"/>
      <c r="N1156" s="2" t="n"/>
    </row>
    <row r="1157">
      <c r="D1157" s="2" t="n"/>
      <c r="E1157" s="3" t="n"/>
      <c r="F1157" s="3" t="n"/>
      <c r="G1157" s="3" t="n"/>
      <c r="H1157" s="4" t="n"/>
      <c r="L1157" s="2" t="n"/>
      <c r="N1157" s="2" t="n"/>
    </row>
    <row r="1158">
      <c r="D1158" s="2" t="n"/>
      <c r="E1158" s="3" t="n"/>
      <c r="F1158" s="3" t="n"/>
      <c r="G1158" s="3" t="n"/>
      <c r="H1158" s="4" t="n"/>
      <c r="L1158" s="2" t="n"/>
      <c r="N1158" s="2" t="n"/>
    </row>
    <row r="1159">
      <c r="D1159" s="2" t="n"/>
      <c r="E1159" s="3" t="n"/>
      <c r="F1159" s="3" t="n"/>
      <c r="G1159" s="3" t="n"/>
      <c r="H1159" s="4" t="n"/>
      <c r="L1159" s="2" t="n"/>
      <c r="N1159" s="2" t="n"/>
    </row>
    <row r="1160">
      <c r="D1160" s="2" t="n"/>
      <c r="E1160" s="3" t="n"/>
      <c r="F1160" s="3" t="n"/>
      <c r="G1160" s="3" t="n"/>
      <c r="H1160" s="4" t="n"/>
      <c r="L1160" s="2" t="n"/>
      <c r="N1160" s="2" t="n"/>
    </row>
    <row r="1161">
      <c r="D1161" s="2" t="n"/>
      <c r="E1161" s="3" t="n"/>
      <c r="F1161" s="3" t="n"/>
      <c r="G1161" s="3" t="n"/>
      <c r="H1161" s="4" t="n"/>
      <c r="L1161" s="2" t="n"/>
      <c r="N1161" s="2" t="n"/>
    </row>
    <row r="1162">
      <c r="D1162" s="2" t="n"/>
      <c r="E1162" s="3" t="n"/>
      <c r="F1162" s="3" t="n"/>
      <c r="G1162" s="3" t="n"/>
      <c r="H1162" s="4" t="n"/>
      <c r="L1162" s="2" t="n"/>
      <c r="N1162" s="2" t="n"/>
    </row>
    <row r="1163">
      <c r="D1163" s="2" t="n"/>
      <c r="E1163" s="3" t="n"/>
      <c r="F1163" s="3" t="n"/>
      <c r="G1163" s="3" t="n"/>
      <c r="H1163" s="4" t="n"/>
      <c r="L1163" s="2" t="n"/>
      <c r="N1163" s="2" t="n"/>
    </row>
    <row r="1164">
      <c r="D1164" s="2" t="n"/>
      <c r="E1164" s="3" t="n"/>
      <c r="F1164" s="3" t="n"/>
      <c r="G1164" s="3" t="n"/>
      <c r="H1164" s="4" t="n"/>
      <c r="L1164" s="2" t="n"/>
      <c r="N1164" s="2" t="n"/>
    </row>
    <row r="1165">
      <c r="D1165" s="2" t="n"/>
      <c r="E1165" s="3" t="n"/>
      <c r="F1165" s="3" t="n"/>
      <c r="G1165" s="3" t="n"/>
      <c r="H1165" s="4" t="n"/>
      <c r="L1165" s="2" t="n"/>
      <c r="N1165" s="2" t="n"/>
    </row>
    <row r="1166">
      <c r="D1166" s="2" t="n"/>
      <c r="E1166" s="3" t="n"/>
      <c r="F1166" s="3" t="n"/>
      <c r="G1166" s="3" t="n"/>
      <c r="H1166" s="4" t="n"/>
      <c r="L1166" s="2" t="n"/>
      <c r="N1166" s="2" t="n"/>
    </row>
    <row r="1167">
      <c r="D1167" s="2" t="n"/>
      <c r="E1167" s="3" t="n"/>
      <c r="F1167" s="3" t="n"/>
      <c r="G1167" s="3" t="n"/>
      <c r="H1167" s="4" t="n"/>
      <c r="L1167" s="2" t="n"/>
      <c r="N1167" s="2" t="n"/>
    </row>
    <row r="1168">
      <c r="D1168" s="2" t="n"/>
      <c r="E1168" s="3" t="n"/>
      <c r="F1168" s="3" t="n"/>
      <c r="G1168" s="3" t="n"/>
      <c r="H1168" s="4" t="n"/>
      <c r="L1168" s="2" t="n"/>
      <c r="N1168" s="2" t="n"/>
    </row>
    <row r="1169">
      <c r="D1169" s="2" t="n"/>
      <c r="E1169" s="3" t="n"/>
      <c r="F1169" s="3" t="n"/>
      <c r="G1169" s="3" t="n"/>
      <c r="H1169" s="4" t="n"/>
      <c r="L1169" s="2" t="n"/>
      <c r="N1169" s="2" t="n"/>
    </row>
    <row r="1170">
      <c r="D1170" s="2" t="n"/>
      <c r="E1170" s="3" t="n"/>
      <c r="F1170" s="3" t="n"/>
      <c r="G1170" s="3" t="n"/>
      <c r="H1170" s="4" t="n"/>
      <c r="L1170" s="2" t="n"/>
      <c r="N1170" s="2" t="n"/>
    </row>
    <row r="1171">
      <c r="D1171" s="2" t="n"/>
      <c r="E1171" s="3" t="n"/>
      <c r="F1171" s="3" t="n"/>
      <c r="G1171" s="3" t="n"/>
      <c r="H1171" s="4" t="n"/>
      <c r="L1171" s="2" t="n"/>
      <c r="N1171" s="2" t="n"/>
    </row>
    <row r="1172">
      <c r="D1172" s="2" t="n"/>
      <c r="E1172" s="3" t="n"/>
      <c r="F1172" s="3" t="n"/>
      <c r="G1172" s="3" t="n"/>
      <c r="H1172" s="4" t="n"/>
      <c r="L1172" s="2" t="n"/>
      <c r="N1172" s="2" t="n"/>
    </row>
    <row r="1173">
      <c r="D1173" s="2" t="n"/>
      <c r="E1173" s="3" t="n"/>
      <c r="F1173" s="3" t="n"/>
      <c r="G1173" s="3" t="n"/>
      <c r="H1173" s="4" t="n"/>
      <c r="L1173" s="2" t="n"/>
      <c r="N1173" s="2" t="n"/>
    </row>
    <row r="1174">
      <c r="D1174" s="2" t="n"/>
      <c r="E1174" s="3" t="n"/>
      <c r="F1174" s="3" t="n"/>
      <c r="G1174" s="3" t="n"/>
      <c r="H1174" s="4" t="n"/>
      <c r="L1174" s="2" t="n"/>
      <c r="N1174" s="2" t="n"/>
    </row>
    <row r="1175">
      <c r="D1175" s="2" t="n"/>
      <c r="E1175" s="3" t="n"/>
      <c r="F1175" s="3" t="n"/>
      <c r="G1175" s="3" t="n"/>
      <c r="H1175" s="4" t="n"/>
      <c r="L1175" s="2" t="n"/>
      <c r="N1175" s="2" t="n"/>
    </row>
    <row r="1176">
      <c r="D1176" s="2" t="n"/>
      <c r="E1176" s="3" t="n"/>
      <c r="F1176" s="3" t="n"/>
      <c r="G1176" s="3" t="n"/>
      <c r="H1176" s="4" t="n"/>
      <c r="L1176" s="2" t="n"/>
      <c r="N1176" s="2" t="n"/>
    </row>
    <row r="1177">
      <c r="D1177" s="2" t="n"/>
      <c r="E1177" s="3" t="n"/>
      <c r="F1177" s="3" t="n"/>
      <c r="G1177" s="3" t="n"/>
      <c r="H1177" s="4" t="n"/>
      <c r="L1177" s="2" t="n"/>
      <c r="N1177" s="2" t="n"/>
    </row>
    <row r="1178">
      <c r="D1178" s="2" t="n"/>
      <c r="E1178" s="3" t="n"/>
      <c r="F1178" s="3" t="n"/>
      <c r="G1178" s="3" t="n"/>
      <c r="H1178" s="4" t="n"/>
      <c r="L1178" s="2" t="n"/>
      <c r="N1178" s="2" t="n"/>
    </row>
    <row r="1179">
      <c r="D1179" s="2" t="n"/>
      <c r="E1179" s="3" t="n"/>
      <c r="F1179" s="3" t="n"/>
      <c r="G1179" s="3" t="n"/>
      <c r="H1179" s="4" t="n"/>
      <c r="L1179" s="2" t="n"/>
      <c r="N1179" s="2" t="n"/>
    </row>
    <row r="1180">
      <c r="D1180" s="2" t="n"/>
      <c r="E1180" s="3" t="n"/>
      <c r="F1180" s="3" t="n"/>
      <c r="G1180" s="3" t="n"/>
      <c r="H1180" s="4" t="n"/>
      <c r="L1180" s="2" t="n"/>
      <c r="N1180" s="2" t="n"/>
    </row>
    <row r="1181">
      <c r="D1181" s="2" t="n"/>
      <c r="E1181" s="3" t="n"/>
      <c r="F1181" s="3" t="n"/>
      <c r="G1181" s="3" t="n"/>
      <c r="H1181" s="4" t="n"/>
      <c r="L1181" s="2" t="n"/>
      <c r="N1181" s="2" t="n"/>
    </row>
    <row r="1182">
      <c r="D1182" s="2" t="n"/>
      <c r="E1182" s="3" t="n"/>
      <c r="F1182" s="3" t="n"/>
      <c r="G1182" s="3" t="n"/>
      <c r="H1182" s="4" t="n"/>
      <c r="L1182" s="2" t="n"/>
      <c r="N1182" s="2" t="n"/>
    </row>
    <row r="1183">
      <c r="D1183" s="2" t="n"/>
      <c r="E1183" s="3" t="n"/>
      <c r="F1183" s="3" t="n"/>
      <c r="G1183" s="3" t="n"/>
      <c r="H1183" s="4" t="n"/>
      <c r="L1183" s="2" t="n"/>
      <c r="N1183" s="2" t="n"/>
    </row>
    <row r="1184">
      <c r="D1184" s="2" t="n"/>
      <c r="E1184" s="3" t="n"/>
      <c r="F1184" s="3" t="n"/>
      <c r="G1184" s="3" t="n"/>
      <c r="H1184" s="4" t="n"/>
      <c r="L1184" s="2" t="n"/>
      <c r="N1184" s="2" t="n"/>
    </row>
    <row r="1185">
      <c r="D1185" s="2" t="n"/>
      <c r="E1185" s="3" t="n"/>
      <c r="F1185" s="3" t="n"/>
      <c r="G1185" s="3" t="n"/>
      <c r="H1185" s="4" t="n"/>
      <c r="L1185" s="2" t="n"/>
      <c r="N1185" s="2" t="n"/>
    </row>
    <row r="1186">
      <c r="D1186" s="2" t="n"/>
      <c r="E1186" s="3" t="n"/>
      <c r="F1186" s="3" t="n"/>
      <c r="G1186" s="3" t="n"/>
      <c r="H1186" s="4" t="n"/>
      <c r="L1186" s="2" t="n"/>
      <c r="N1186" s="2" t="n"/>
    </row>
    <row r="1187">
      <c r="D1187" s="2" t="n"/>
      <c r="E1187" s="3" t="n"/>
      <c r="F1187" s="3" t="n"/>
      <c r="G1187" s="3" t="n"/>
      <c r="H1187" s="4" t="n"/>
      <c r="L1187" s="2" t="n"/>
      <c r="N1187" s="2" t="n"/>
    </row>
    <row r="1188">
      <c r="D1188" s="2" t="n"/>
      <c r="E1188" s="3" t="n"/>
      <c r="F1188" s="3" t="n"/>
      <c r="G1188" s="3" t="n"/>
      <c r="H1188" s="4" t="n"/>
      <c r="L1188" s="2" t="n"/>
      <c r="N1188" s="2" t="n"/>
    </row>
    <row r="1189">
      <c r="D1189" s="2" t="n"/>
      <c r="E1189" s="3" t="n"/>
      <c r="F1189" s="3" t="n"/>
      <c r="G1189" s="3" t="n"/>
      <c r="H1189" s="4" t="n"/>
      <c r="L1189" s="2" t="n"/>
      <c r="N1189" s="2" t="n"/>
    </row>
    <row r="1190">
      <c r="D1190" s="2" t="n"/>
      <c r="E1190" s="3" t="n"/>
      <c r="F1190" s="3" t="n"/>
      <c r="G1190" s="3" t="n"/>
      <c r="H1190" s="4" t="n"/>
      <c r="L1190" s="2" t="n"/>
      <c r="N1190" s="2" t="n"/>
    </row>
    <row r="1191">
      <c r="D1191" s="2" t="n"/>
      <c r="E1191" s="3" t="n"/>
      <c r="F1191" s="3" t="n"/>
      <c r="G1191" s="3" t="n"/>
      <c r="H1191" s="4" t="n"/>
      <c r="L1191" s="2" t="n"/>
      <c r="N1191" s="2" t="n"/>
    </row>
    <row r="1192">
      <c r="D1192" s="2" t="n"/>
      <c r="E1192" s="3" t="n"/>
      <c r="F1192" s="3" t="n"/>
      <c r="G1192" s="3" t="n"/>
      <c r="H1192" s="4" t="n"/>
      <c r="L1192" s="2" t="n"/>
      <c r="N1192" s="2" t="n"/>
    </row>
    <row r="1193">
      <c r="D1193" s="2" t="n"/>
      <c r="E1193" s="3" t="n"/>
      <c r="F1193" s="3" t="n"/>
      <c r="G1193" s="3" t="n"/>
      <c r="H1193" s="4" t="n"/>
      <c r="L1193" s="2" t="n"/>
      <c r="N1193" s="2" t="n"/>
    </row>
    <row r="1194">
      <c r="D1194" s="2" t="n"/>
      <c r="E1194" s="3" t="n"/>
      <c r="F1194" s="3" t="n"/>
      <c r="G1194" s="3" t="n"/>
      <c r="H1194" s="4" t="n"/>
      <c r="L1194" s="2" t="n"/>
      <c r="N1194" s="2" t="n"/>
    </row>
    <row r="1195">
      <c r="D1195" s="2" t="n"/>
      <c r="E1195" s="3" t="n"/>
      <c r="F1195" s="3" t="n"/>
      <c r="G1195" s="3" t="n"/>
      <c r="H1195" s="4" t="n"/>
      <c r="L1195" s="2" t="n"/>
      <c r="N1195" s="2" t="n"/>
    </row>
    <row r="1196">
      <c r="D1196" s="2" t="n"/>
      <c r="E1196" s="3" t="n"/>
      <c r="F1196" s="3" t="n"/>
      <c r="G1196" s="3" t="n"/>
      <c r="H1196" s="4" t="n"/>
      <c r="L1196" s="2" t="n"/>
      <c r="N1196" s="2" t="n"/>
    </row>
    <row r="1197">
      <c r="D1197" s="2" t="n"/>
      <c r="E1197" s="3" t="n"/>
      <c r="F1197" s="3" t="n"/>
      <c r="G1197" s="3" t="n"/>
      <c r="H1197" s="4" t="n"/>
      <c r="L1197" s="2" t="n"/>
      <c r="N1197" s="2" t="n"/>
    </row>
    <row r="1198">
      <c r="D1198" s="2" t="n"/>
      <c r="E1198" s="3" t="n"/>
      <c r="F1198" s="3" t="n"/>
      <c r="G1198" s="3" t="n"/>
      <c r="H1198" s="4" t="n"/>
      <c r="L1198" s="2" t="n"/>
      <c r="N1198" s="2" t="n"/>
    </row>
    <row r="1199">
      <c r="D1199" s="2" t="n"/>
      <c r="E1199" s="3" t="n"/>
      <c r="F1199" s="3" t="n"/>
      <c r="G1199" s="3" t="n"/>
      <c r="H1199" s="4" t="n"/>
      <c r="L1199" s="2" t="n"/>
      <c r="N1199" s="2" t="n"/>
    </row>
    <row r="1200">
      <c r="D1200" s="2" t="n"/>
      <c r="E1200" s="3" t="n"/>
      <c r="F1200" s="3" t="n"/>
      <c r="G1200" s="3" t="n"/>
      <c r="H1200" s="4" t="n"/>
      <c r="L1200" s="2" t="n"/>
      <c r="N1200" s="2" t="n"/>
    </row>
    <row r="1201">
      <c r="D1201" s="2" t="n"/>
      <c r="E1201" s="3" t="n"/>
      <c r="F1201" s="3" t="n"/>
      <c r="G1201" s="3" t="n"/>
      <c r="H1201" s="4" t="n"/>
      <c r="L1201" s="2" t="n"/>
      <c r="N1201" s="2" t="n"/>
    </row>
    <row r="1202">
      <c r="D1202" s="2" t="n"/>
      <c r="E1202" s="3" t="n"/>
      <c r="F1202" s="3" t="n"/>
      <c r="G1202" s="3" t="n"/>
      <c r="H1202" s="4" t="n"/>
      <c r="L1202" s="2" t="n"/>
      <c r="N1202" s="2" t="n"/>
    </row>
    <row r="1203">
      <c r="D1203" s="2" t="n"/>
      <c r="E1203" s="3" t="n"/>
      <c r="F1203" s="3" t="n"/>
      <c r="G1203" s="3" t="n"/>
      <c r="H1203" s="4" t="n"/>
      <c r="L1203" s="2" t="n"/>
      <c r="N1203" s="2" t="n"/>
    </row>
    <row r="1204">
      <c r="D1204" s="2" t="n"/>
      <c r="E1204" s="3" t="n"/>
      <c r="F1204" s="3" t="n"/>
      <c r="G1204" s="3" t="n"/>
      <c r="H1204" s="4" t="n"/>
      <c r="L1204" s="2" t="n"/>
      <c r="N1204" s="2" t="n"/>
    </row>
    <row r="1205">
      <c r="D1205" s="2" t="n"/>
      <c r="E1205" s="3" t="n"/>
      <c r="F1205" s="3" t="n"/>
      <c r="G1205" s="3" t="n"/>
      <c r="H1205" s="4" t="n"/>
      <c r="L1205" s="2" t="n"/>
      <c r="N1205" s="2" t="n"/>
    </row>
    <row r="1206">
      <c r="D1206" s="2" t="n"/>
      <c r="E1206" s="3" t="n"/>
      <c r="F1206" s="3" t="n"/>
      <c r="G1206" s="3" t="n"/>
      <c r="H1206" s="4" t="n"/>
      <c r="L1206" s="2" t="n"/>
      <c r="N1206" s="2" t="n"/>
    </row>
    <row r="1207">
      <c r="D1207" s="2" t="n"/>
      <c r="E1207" s="3" t="n"/>
      <c r="F1207" s="3" t="n"/>
      <c r="G1207" s="3" t="n"/>
      <c r="H1207" s="4" t="n"/>
      <c r="L1207" s="2" t="n"/>
      <c r="N1207" s="2" t="n"/>
    </row>
    <row r="1208">
      <c r="D1208" s="2" t="n"/>
      <c r="E1208" s="3" t="n"/>
      <c r="F1208" s="3" t="n"/>
      <c r="G1208" s="3" t="n"/>
      <c r="H1208" s="4" t="n"/>
      <c r="L1208" s="2" t="n"/>
      <c r="N1208" s="2" t="n"/>
    </row>
    <row r="1209">
      <c r="D1209" s="2" t="n"/>
      <c r="E1209" s="3" t="n"/>
      <c r="F1209" s="3" t="n"/>
      <c r="G1209" s="3" t="n"/>
      <c r="H1209" s="4" t="n"/>
      <c r="L1209" s="2" t="n"/>
      <c r="N1209" s="2" t="n"/>
    </row>
    <row r="1210">
      <c r="D1210" s="2" t="n"/>
      <c r="E1210" s="3" t="n"/>
      <c r="F1210" s="3" t="n"/>
      <c r="G1210" s="3" t="n"/>
      <c r="H1210" s="4" t="n"/>
      <c r="L1210" s="2" t="n"/>
      <c r="N1210" s="2" t="n"/>
    </row>
    <row r="1211">
      <c r="D1211" s="2" t="n"/>
      <c r="E1211" s="3" t="n"/>
      <c r="F1211" s="3" t="n"/>
      <c r="G1211" s="3" t="n"/>
      <c r="H1211" s="4" t="n"/>
      <c r="L1211" s="2" t="n"/>
      <c r="N1211" s="2" t="n"/>
    </row>
    <row r="1212">
      <c r="D1212" s="2" t="n"/>
      <c r="E1212" s="3" t="n"/>
      <c r="F1212" s="3" t="n"/>
      <c r="G1212" s="3" t="n"/>
      <c r="H1212" s="4" t="n"/>
      <c r="L1212" s="2" t="n"/>
      <c r="N1212" s="2" t="n"/>
    </row>
    <row r="1213">
      <c r="D1213" s="2" t="n"/>
      <c r="E1213" s="3" t="n"/>
      <c r="F1213" s="3" t="n"/>
      <c r="G1213" s="3" t="n"/>
      <c r="H1213" s="4" t="n"/>
      <c r="L1213" s="2" t="n"/>
      <c r="N1213" s="2" t="n"/>
    </row>
    <row r="1214">
      <c r="D1214" s="2" t="n"/>
      <c r="E1214" s="3" t="n"/>
      <c r="F1214" s="3" t="n"/>
      <c r="G1214" s="3" t="n"/>
      <c r="H1214" s="4" t="n"/>
      <c r="L1214" s="2" t="n"/>
      <c r="N1214" s="2" t="n"/>
    </row>
    <row r="1215">
      <c r="D1215" s="2" t="n"/>
      <c r="E1215" s="3" t="n"/>
      <c r="F1215" s="3" t="n"/>
      <c r="G1215" s="3" t="n"/>
      <c r="H1215" s="4" t="n"/>
      <c r="L1215" s="2" t="n"/>
      <c r="N1215" s="2" t="n"/>
    </row>
    <row r="1216">
      <c r="D1216" s="2" t="n"/>
      <c r="E1216" s="3" t="n"/>
      <c r="F1216" s="3" t="n"/>
      <c r="G1216" s="3" t="n"/>
      <c r="H1216" s="4" t="n"/>
      <c r="L1216" s="2" t="n"/>
      <c r="N1216" s="2" t="n"/>
    </row>
    <row r="1217">
      <c r="D1217" s="2" t="n"/>
      <c r="E1217" s="3" t="n"/>
      <c r="F1217" s="3" t="n"/>
      <c r="G1217" s="3" t="n"/>
      <c r="H1217" s="4" t="n"/>
      <c r="L1217" s="2" t="n"/>
      <c r="N1217" s="2" t="n"/>
    </row>
    <row r="1218">
      <c r="D1218" s="2" t="n"/>
      <c r="E1218" s="3" t="n"/>
      <c r="F1218" s="3" t="n"/>
      <c r="G1218" s="3" t="n"/>
      <c r="H1218" s="4" t="n"/>
      <c r="L1218" s="2" t="n"/>
      <c r="N1218" s="2" t="n"/>
    </row>
    <row r="1219">
      <c r="D1219" s="2" t="n"/>
      <c r="E1219" s="3" t="n"/>
      <c r="F1219" s="3" t="n"/>
      <c r="G1219" s="3" t="n"/>
      <c r="H1219" s="4" t="n"/>
      <c r="L1219" s="2" t="n"/>
      <c r="N1219" s="2" t="n"/>
    </row>
    <row r="1220">
      <c r="D1220" s="2" t="n"/>
      <c r="E1220" s="3" t="n"/>
      <c r="F1220" s="3" t="n"/>
      <c r="G1220" s="3" t="n"/>
      <c r="H1220" s="4" t="n"/>
      <c r="L1220" s="2" t="n"/>
      <c r="N1220" s="2" t="n"/>
    </row>
    <row r="1221">
      <c r="D1221" s="2" t="n"/>
      <c r="E1221" s="3" t="n"/>
      <c r="F1221" s="3" t="n"/>
      <c r="G1221" s="3" t="n"/>
      <c r="H1221" s="4" t="n"/>
      <c r="L1221" s="2" t="n"/>
      <c r="N1221" s="2" t="n"/>
    </row>
    <row r="1222">
      <c r="D1222" s="2" t="n"/>
      <c r="E1222" s="3" t="n"/>
      <c r="F1222" s="3" t="n"/>
      <c r="G1222" s="3" t="n"/>
      <c r="H1222" s="4" t="n"/>
      <c r="L1222" s="2" t="n"/>
      <c r="N1222" s="2" t="n"/>
    </row>
    <row r="1223">
      <c r="D1223" s="2" t="n"/>
      <c r="E1223" s="3" t="n"/>
      <c r="F1223" s="3" t="n"/>
      <c r="G1223" s="3" t="n"/>
      <c r="H1223" s="4" t="n"/>
      <c r="L1223" s="2" t="n"/>
      <c r="N1223" s="2" t="n"/>
    </row>
    <row r="1224">
      <c r="D1224" s="2" t="n"/>
      <c r="E1224" s="3" t="n"/>
      <c r="F1224" s="3" t="n"/>
      <c r="G1224" s="3" t="n"/>
      <c r="H1224" s="4" t="n"/>
      <c r="L1224" s="2" t="n"/>
      <c r="N1224" s="2" t="n"/>
    </row>
    <row r="1225">
      <c r="D1225" s="2" t="n"/>
      <c r="E1225" s="3" t="n"/>
      <c r="F1225" s="3" t="n"/>
      <c r="G1225" s="3" t="n"/>
      <c r="H1225" s="4" t="n"/>
      <c r="L1225" s="2" t="n"/>
      <c r="N1225" s="2" t="n"/>
    </row>
    <row r="1226">
      <c r="D1226" s="2" t="n"/>
      <c r="E1226" s="3" t="n"/>
      <c r="F1226" s="3" t="n"/>
      <c r="G1226" s="3" t="n"/>
      <c r="H1226" s="4" t="n"/>
      <c r="L1226" s="2" t="n"/>
      <c r="N1226" s="2" t="n"/>
    </row>
    <row r="1227">
      <c r="D1227" s="2" t="n"/>
      <c r="E1227" s="3" t="n"/>
      <c r="F1227" s="3" t="n"/>
      <c r="G1227" s="3" t="n"/>
      <c r="H1227" s="4" t="n"/>
      <c r="L1227" s="2" t="n"/>
      <c r="N1227" s="2" t="n"/>
    </row>
    <row r="1228">
      <c r="D1228" s="2" t="n"/>
      <c r="E1228" s="3" t="n"/>
      <c r="F1228" s="3" t="n"/>
      <c r="G1228" s="3" t="n"/>
      <c r="H1228" s="4" t="n"/>
      <c r="L1228" s="2" t="n"/>
      <c r="N1228" s="2" t="n"/>
    </row>
    <row r="1229">
      <c r="D1229" s="2" t="n"/>
      <c r="E1229" s="3" t="n"/>
      <c r="F1229" s="3" t="n"/>
      <c r="G1229" s="3" t="n"/>
      <c r="H1229" s="4" t="n"/>
      <c r="L1229" s="2" t="n"/>
      <c r="N1229" s="2" t="n"/>
    </row>
    <row r="1230">
      <c r="D1230" s="2" t="n"/>
      <c r="E1230" s="3" t="n"/>
      <c r="F1230" s="3" t="n"/>
      <c r="G1230" s="3" t="n"/>
      <c r="H1230" s="4" t="n"/>
      <c r="L1230" s="2" t="n"/>
      <c r="N1230" s="2" t="n"/>
    </row>
    <row r="1231">
      <c r="D1231" s="2" t="n"/>
      <c r="E1231" s="3" t="n"/>
      <c r="F1231" s="3" t="n"/>
      <c r="G1231" s="3" t="n"/>
      <c r="H1231" s="4" t="n"/>
      <c r="L1231" s="2" t="n"/>
      <c r="N1231" s="2" t="n"/>
    </row>
    <row r="1232">
      <c r="D1232" s="2" t="n"/>
      <c r="E1232" s="3" t="n"/>
      <c r="F1232" s="3" t="n"/>
      <c r="G1232" s="3" t="n"/>
      <c r="H1232" s="4" t="n"/>
      <c r="L1232" s="2" t="n"/>
      <c r="N1232" s="2" t="n"/>
    </row>
    <row r="1233">
      <c r="D1233" s="2" t="n"/>
      <c r="E1233" s="3" t="n"/>
      <c r="F1233" s="3" t="n"/>
      <c r="G1233" s="3" t="n"/>
      <c r="H1233" s="4" t="n"/>
      <c r="L1233" s="2" t="n"/>
      <c r="N1233" s="2" t="n"/>
    </row>
    <row r="1234">
      <c r="D1234" s="2" t="n"/>
      <c r="E1234" s="3" t="n"/>
      <c r="F1234" s="3" t="n"/>
      <c r="G1234" s="3" t="n"/>
      <c r="H1234" s="4" t="n"/>
      <c r="L1234" s="2" t="n"/>
      <c r="N1234" s="2" t="n"/>
    </row>
    <row r="1235">
      <c r="D1235" s="2" t="n"/>
      <c r="E1235" s="3" t="n"/>
      <c r="F1235" s="3" t="n"/>
      <c r="G1235" s="3" t="n"/>
      <c r="H1235" s="4" t="n"/>
      <c r="L1235" s="2" t="n"/>
      <c r="N1235" s="2" t="n"/>
    </row>
    <row r="1236">
      <c r="D1236" s="2" t="n"/>
      <c r="E1236" s="3" t="n"/>
      <c r="F1236" s="3" t="n"/>
      <c r="G1236" s="3" t="n"/>
      <c r="H1236" s="4" t="n"/>
      <c r="L1236" s="2" t="n"/>
      <c r="N1236" s="2" t="n"/>
    </row>
    <row r="1237">
      <c r="D1237" s="2" t="n"/>
      <c r="E1237" s="3" t="n"/>
      <c r="F1237" s="3" t="n"/>
      <c r="G1237" s="3" t="n"/>
      <c r="H1237" s="4" t="n"/>
      <c r="L1237" s="2" t="n"/>
      <c r="N1237" s="2" t="n"/>
    </row>
    <row r="1238">
      <c r="D1238" s="2" t="n"/>
      <c r="E1238" s="3" t="n"/>
      <c r="F1238" s="3" t="n"/>
      <c r="G1238" s="3" t="n"/>
      <c r="H1238" s="4" t="n"/>
      <c r="L1238" s="2" t="n"/>
      <c r="N1238" s="2" t="n"/>
    </row>
    <row r="1239">
      <c r="D1239" s="2" t="n"/>
      <c r="E1239" s="3" t="n"/>
      <c r="F1239" s="3" t="n"/>
      <c r="G1239" s="3" t="n"/>
      <c r="H1239" s="4" t="n"/>
      <c r="L1239" s="2" t="n"/>
      <c r="N1239" s="2" t="n"/>
    </row>
    <row r="1240">
      <c r="D1240" s="2" t="n"/>
      <c r="E1240" s="3" t="n"/>
      <c r="F1240" s="3" t="n"/>
      <c r="G1240" s="3" t="n"/>
      <c r="H1240" s="4" t="n"/>
      <c r="L1240" s="2" t="n"/>
      <c r="N1240" s="2" t="n"/>
    </row>
    <row r="1241">
      <c r="D1241" s="2" t="n"/>
      <c r="E1241" s="3" t="n"/>
      <c r="F1241" s="3" t="n"/>
      <c r="G1241" s="3" t="n"/>
      <c r="H1241" s="4" t="n"/>
      <c r="L1241" s="2" t="n"/>
      <c r="N1241" s="2" t="n"/>
    </row>
    <row r="1242">
      <c r="D1242" s="2" t="n"/>
      <c r="E1242" s="3" t="n"/>
      <c r="F1242" s="3" t="n"/>
      <c r="G1242" s="3" t="n"/>
      <c r="H1242" s="4" t="n"/>
      <c r="L1242" s="2" t="n"/>
      <c r="N1242" s="2" t="n"/>
    </row>
    <row r="1243">
      <c r="D1243" s="2" t="n"/>
      <c r="E1243" s="3" t="n"/>
      <c r="F1243" s="3" t="n"/>
      <c r="G1243" s="3" t="n"/>
      <c r="H1243" s="4" t="n"/>
      <c r="L1243" s="2" t="n"/>
      <c r="N1243" s="2" t="n"/>
    </row>
    <row r="1244">
      <c r="D1244" s="2" t="n"/>
      <c r="E1244" s="3" t="n"/>
      <c r="F1244" s="3" t="n"/>
      <c r="G1244" s="3" t="n"/>
      <c r="H1244" s="4" t="n"/>
      <c r="L1244" s="2" t="n"/>
      <c r="N1244" s="2" t="n"/>
    </row>
    <row r="1245">
      <c r="D1245" s="2" t="n"/>
      <c r="E1245" s="3" t="n"/>
      <c r="F1245" s="3" t="n"/>
      <c r="G1245" s="3" t="n"/>
      <c r="H1245" s="4" t="n"/>
      <c r="L1245" s="2" t="n"/>
      <c r="N1245" s="2" t="n"/>
    </row>
    <row r="1246">
      <c r="D1246" s="2" t="n"/>
      <c r="E1246" s="3" t="n"/>
      <c r="F1246" s="3" t="n"/>
      <c r="G1246" s="3" t="n"/>
      <c r="H1246" s="4" t="n"/>
      <c r="L1246" s="2" t="n"/>
      <c r="N1246" s="2" t="n"/>
    </row>
    <row r="1247">
      <c r="D1247" s="2" t="n"/>
      <c r="E1247" s="3" t="n"/>
      <c r="F1247" s="3" t="n"/>
      <c r="G1247" s="3" t="n"/>
      <c r="H1247" s="4" t="n"/>
      <c r="L1247" s="2" t="n"/>
      <c r="N1247" s="2" t="n"/>
    </row>
    <row r="1248">
      <c r="D1248" s="2" t="n"/>
      <c r="E1248" s="3" t="n"/>
      <c r="F1248" s="3" t="n"/>
      <c r="G1248" s="3" t="n"/>
      <c r="H1248" s="4" t="n"/>
      <c r="L1248" s="2" t="n"/>
      <c r="N1248" s="2" t="n"/>
    </row>
    <row r="1249">
      <c r="D1249" s="2" t="n"/>
      <c r="E1249" s="3" t="n"/>
      <c r="F1249" s="3" t="n"/>
      <c r="G1249" s="3" t="n"/>
      <c r="H1249" s="4" t="n"/>
      <c r="L1249" s="2" t="n"/>
      <c r="N1249" s="2" t="n"/>
    </row>
    <row r="1250">
      <c r="D1250" s="2" t="n"/>
      <c r="E1250" s="3" t="n"/>
      <c r="F1250" s="3" t="n"/>
      <c r="G1250" s="3" t="n"/>
      <c r="H1250" s="4" t="n"/>
      <c r="L1250" s="2" t="n"/>
      <c r="N1250" s="2" t="n"/>
    </row>
    <row r="1251">
      <c r="D1251" s="2" t="n"/>
      <c r="E1251" s="3" t="n"/>
      <c r="F1251" s="3" t="n"/>
      <c r="G1251" s="3" t="n"/>
      <c r="H1251" s="4" t="n"/>
      <c r="L1251" s="2" t="n"/>
      <c r="N1251" s="2" t="n"/>
    </row>
    <row r="1252">
      <c r="D1252" s="2" t="n"/>
      <c r="E1252" s="3" t="n"/>
      <c r="F1252" s="3" t="n"/>
      <c r="G1252" s="3" t="n"/>
      <c r="H1252" s="4" t="n"/>
      <c r="L1252" s="2" t="n"/>
      <c r="N1252" s="2" t="n"/>
    </row>
    <row r="1253">
      <c r="D1253" s="2" t="n"/>
      <c r="E1253" s="3" t="n"/>
      <c r="F1253" s="3" t="n"/>
      <c r="G1253" s="3" t="n"/>
      <c r="H1253" s="4" t="n"/>
      <c r="L1253" s="2" t="n"/>
      <c r="N1253" s="2" t="n"/>
    </row>
    <row r="1254">
      <c r="D1254" s="2" t="n"/>
      <c r="E1254" s="3" t="n"/>
      <c r="F1254" s="3" t="n"/>
      <c r="G1254" s="3" t="n"/>
      <c r="H1254" s="4" t="n"/>
      <c r="L1254" s="2" t="n"/>
      <c r="N1254" s="2" t="n"/>
    </row>
    <row r="1255">
      <c r="D1255" s="2" t="n"/>
      <c r="E1255" s="3" t="n"/>
      <c r="F1255" s="3" t="n"/>
      <c r="G1255" s="3" t="n"/>
      <c r="H1255" s="4" t="n"/>
      <c r="L1255" s="2" t="n"/>
      <c r="N1255" s="2" t="n"/>
    </row>
    <row r="1256">
      <c r="D1256" s="2" t="n"/>
      <c r="E1256" s="3" t="n"/>
      <c r="F1256" s="3" t="n"/>
      <c r="G1256" s="3" t="n"/>
      <c r="H1256" s="4" t="n"/>
      <c r="L1256" s="2" t="n"/>
      <c r="N1256" s="2" t="n"/>
    </row>
    <row r="1257">
      <c r="D1257" s="2" t="n"/>
      <c r="E1257" s="3" t="n"/>
      <c r="F1257" s="3" t="n"/>
      <c r="G1257" s="3" t="n"/>
      <c r="H1257" s="4" t="n"/>
      <c r="L1257" s="2" t="n"/>
      <c r="N1257" s="2" t="n"/>
    </row>
    <row r="1258">
      <c r="D1258" s="2" t="n"/>
      <c r="E1258" s="3" t="n"/>
      <c r="F1258" s="3" t="n"/>
      <c r="G1258" s="3" t="n"/>
      <c r="H1258" s="4" t="n"/>
      <c r="L1258" s="2" t="n"/>
      <c r="N1258" s="2" t="n"/>
    </row>
    <row r="1259">
      <c r="D1259" s="2" t="n"/>
      <c r="E1259" s="3" t="n"/>
      <c r="F1259" s="3" t="n"/>
      <c r="G1259" s="3" t="n"/>
      <c r="H1259" s="4" t="n"/>
      <c r="L1259" s="2" t="n"/>
      <c r="N1259" s="2" t="n"/>
    </row>
    <row r="1260">
      <c r="D1260" s="2" t="n"/>
      <c r="E1260" s="3" t="n"/>
      <c r="F1260" s="3" t="n"/>
      <c r="G1260" s="3" t="n"/>
      <c r="H1260" s="4" t="n"/>
      <c r="L1260" s="2" t="n"/>
      <c r="N1260" s="2" t="n"/>
    </row>
    <row r="1261">
      <c r="D1261" s="2" t="n"/>
      <c r="E1261" s="3" t="n"/>
      <c r="F1261" s="3" t="n"/>
      <c r="G1261" s="3" t="n"/>
      <c r="H1261" s="4" t="n"/>
      <c r="L1261" s="2" t="n"/>
      <c r="N1261" s="2" t="n"/>
    </row>
    <row r="1262">
      <c r="D1262" s="2" t="n"/>
      <c r="E1262" s="3" t="n"/>
      <c r="F1262" s="3" t="n"/>
      <c r="G1262" s="3" t="n"/>
      <c r="H1262" s="4" t="n"/>
      <c r="L1262" s="2" t="n"/>
      <c r="N1262" s="2" t="n"/>
    </row>
    <row r="1263">
      <c r="D1263" s="2" t="n"/>
      <c r="E1263" s="3" t="n"/>
      <c r="F1263" s="3" t="n"/>
      <c r="G1263" s="3" t="n"/>
      <c r="H1263" s="4" t="n"/>
      <c r="L1263" s="2" t="n"/>
      <c r="N1263" s="2" t="n"/>
    </row>
    <row r="1264">
      <c r="D1264" s="2" t="n"/>
      <c r="E1264" s="3" t="n"/>
      <c r="F1264" s="3" t="n"/>
      <c r="G1264" s="3" t="n"/>
      <c r="H1264" s="4" t="n"/>
      <c r="L1264" s="2" t="n"/>
      <c r="N1264" s="2" t="n"/>
    </row>
    <row r="1265">
      <c r="D1265" s="2" t="n"/>
      <c r="E1265" s="3" t="n"/>
      <c r="F1265" s="3" t="n"/>
      <c r="G1265" s="3" t="n"/>
      <c r="H1265" s="4" t="n"/>
      <c r="L1265" s="2" t="n"/>
      <c r="N1265" s="2" t="n"/>
    </row>
    <row r="1266">
      <c r="D1266" s="2" t="n"/>
      <c r="E1266" s="3" t="n"/>
      <c r="F1266" s="3" t="n"/>
      <c r="G1266" s="3" t="n"/>
      <c r="H1266" s="4" t="n"/>
      <c r="L1266" s="2" t="n"/>
      <c r="N1266" s="2" t="n"/>
    </row>
    <row r="1267">
      <c r="D1267" s="2" t="n"/>
      <c r="E1267" s="3" t="n"/>
      <c r="F1267" s="3" t="n"/>
      <c r="G1267" s="3" t="n"/>
      <c r="H1267" s="4" t="n"/>
      <c r="L1267" s="2" t="n"/>
      <c r="N1267" s="2" t="n"/>
    </row>
    <row r="1268">
      <c r="D1268" s="2" t="n"/>
      <c r="E1268" s="3" t="n"/>
      <c r="F1268" s="3" t="n"/>
      <c r="G1268" s="3" t="n"/>
      <c r="H1268" s="4" t="n"/>
      <c r="L1268" s="2" t="n"/>
      <c r="N1268" s="2" t="n"/>
    </row>
    <row r="1269">
      <c r="D1269" s="2" t="n"/>
      <c r="E1269" s="3" t="n"/>
      <c r="F1269" s="3" t="n"/>
      <c r="G1269" s="3" t="n"/>
      <c r="H1269" s="4" t="n"/>
      <c r="L1269" s="2" t="n"/>
      <c r="N1269" s="2" t="n"/>
    </row>
    <row r="1270">
      <c r="D1270" s="2" t="n"/>
      <c r="E1270" s="3" t="n"/>
      <c r="F1270" s="3" t="n"/>
      <c r="G1270" s="3" t="n"/>
      <c r="H1270" s="4" t="n"/>
      <c r="L1270" s="2" t="n"/>
      <c r="N1270" s="2" t="n"/>
    </row>
    <row r="1271">
      <c r="D1271" s="2" t="n"/>
      <c r="E1271" s="3" t="n"/>
      <c r="F1271" s="3" t="n"/>
      <c r="G1271" s="3" t="n"/>
      <c r="H1271" s="4" t="n"/>
      <c r="L1271" s="2" t="n"/>
      <c r="N1271" s="2" t="n"/>
    </row>
    <row r="1272">
      <c r="D1272" s="2" t="n"/>
      <c r="E1272" s="3" t="n"/>
      <c r="F1272" s="3" t="n"/>
      <c r="G1272" s="3" t="n"/>
      <c r="H1272" s="4" t="n"/>
      <c r="L1272" s="2" t="n"/>
      <c r="N1272" s="2" t="n"/>
    </row>
    <row r="1273">
      <c r="D1273" s="2" t="n"/>
      <c r="E1273" s="3" t="n"/>
      <c r="F1273" s="3" t="n"/>
      <c r="G1273" s="3" t="n"/>
      <c r="H1273" s="4" t="n"/>
      <c r="L1273" s="2" t="n"/>
      <c r="N1273" s="2" t="n"/>
    </row>
    <row r="1274">
      <c r="D1274" s="2" t="n"/>
      <c r="E1274" s="3" t="n"/>
      <c r="F1274" s="3" t="n"/>
      <c r="G1274" s="3" t="n"/>
      <c r="H1274" s="4" t="n"/>
      <c r="L1274" s="2" t="n"/>
      <c r="N1274" s="2" t="n"/>
    </row>
    <row r="1275">
      <c r="D1275" s="2" t="n"/>
      <c r="E1275" s="3" t="n"/>
      <c r="F1275" s="3" t="n"/>
      <c r="G1275" s="3" t="n"/>
      <c r="H1275" s="4" t="n"/>
      <c r="L1275" s="2" t="n"/>
      <c r="N1275" s="2" t="n"/>
    </row>
    <row r="1276">
      <c r="D1276" s="2" t="n"/>
      <c r="E1276" s="3" t="n"/>
      <c r="F1276" s="3" t="n"/>
      <c r="G1276" s="3" t="n"/>
      <c r="H1276" s="4" t="n"/>
      <c r="L1276" s="2" t="n"/>
      <c r="N1276" s="2" t="n"/>
    </row>
    <row r="1277">
      <c r="D1277" s="2" t="n"/>
      <c r="E1277" s="3" t="n"/>
      <c r="F1277" s="3" t="n"/>
      <c r="G1277" s="3" t="n"/>
      <c r="H1277" s="4" t="n"/>
      <c r="L1277" s="2" t="n"/>
      <c r="N1277" s="2" t="n"/>
    </row>
    <row r="1278">
      <c r="D1278" s="2" t="n"/>
      <c r="E1278" s="3" t="n"/>
      <c r="F1278" s="3" t="n"/>
      <c r="G1278" s="3" t="n"/>
      <c r="H1278" s="4" t="n"/>
      <c r="L1278" s="2" t="n"/>
      <c r="N1278" s="2" t="n"/>
    </row>
    <row r="1279">
      <c r="D1279" s="2" t="n"/>
      <c r="E1279" s="3" t="n"/>
      <c r="F1279" s="3" t="n"/>
      <c r="G1279" s="3" t="n"/>
      <c r="H1279" s="4" t="n"/>
      <c r="L1279" s="2" t="n"/>
      <c r="N1279" s="2" t="n"/>
    </row>
    <row r="1280">
      <c r="D1280" s="2" t="n"/>
      <c r="E1280" s="3" t="n"/>
      <c r="F1280" s="3" t="n"/>
      <c r="G1280" s="3" t="n"/>
      <c r="H1280" s="4" t="n"/>
      <c r="L1280" s="2" t="n"/>
      <c r="N1280" s="2" t="n"/>
    </row>
    <row r="1281">
      <c r="D1281" s="2" t="n"/>
      <c r="E1281" s="3" t="n"/>
      <c r="F1281" s="3" t="n"/>
      <c r="G1281" s="3" t="n"/>
      <c r="H1281" s="4" t="n"/>
      <c r="L1281" s="2" t="n"/>
      <c r="N1281" s="2" t="n"/>
    </row>
    <row r="1282">
      <c r="D1282" s="2" t="n"/>
      <c r="E1282" s="3" t="n"/>
      <c r="F1282" s="3" t="n"/>
      <c r="G1282" s="3" t="n"/>
      <c r="H1282" s="4" t="n"/>
      <c r="L1282" s="2" t="n"/>
      <c r="N1282" s="2" t="n"/>
    </row>
    <row r="1283">
      <c r="D1283" s="2" t="n"/>
      <c r="E1283" s="3" t="n"/>
      <c r="F1283" s="3" t="n"/>
      <c r="G1283" s="3" t="n"/>
      <c r="H1283" s="4" t="n"/>
      <c r="L1283" s="2" t="n"/>
      <c r="N1283" s="2" t="n"/>
    </row>
    <row r="1284">
      <c r="D1284" s="2" t="n"/>
      <c r="E1284" s="3" t="n"/>
      <c r="F1284" s="3" t="n"/>
      <c r="G1284" s="3" t="n"/>
      <c r="H1284" s="4" t="n"/>
      <c r="L1284" s="2" t="n"/>
      <c r="N1284" s="2" t="n"/>
    </row>
    <row r="1285">
      <c r="D1285" s="2" t="n"/>
      <c r="E1285" s="3" t="n"/>
      <c r="F1285" s="3" t="n"/>
      <c r="G1285" s="3" t="n"/>
      <c r="H1285" s="4" t="n"/>
      <c r="L1285" s="2" t="n"/>
      <c r="N1285" s="2" t="n"/>
    </row>
    <row r="1286">
      <c r="D1286" s="2" t="n"/>
      <c r="E1286" s="3" t="n"/>
      <c r="F1286" s="3" t="n"/>
      <c r="G1286" s="3" t="n"/>
      <c r="H1286" s="4" t="n"/>
      <c r="L1286" s="2" t="n"/>
      <c r="N1286" s="2" t="n"/>
    </row>
    <row r="1287">
      <c r="D1287" s="2" t="n"/>
      <c r="E1287" s="3" t="n"/>
      <c r="F1287" s="3" t="n"/>
      <c r="G1287" s="3" t="n"/>
      <c r="H1287" s="4" t="n"/>
      <c r="L1287" s="2" t="n"/>
      <c r="N1287" s="2" t="n"/>
    </row>
    <row r="1288">
      <c r="D1288" s="2" t="n"/>
      <c r="E1288" s="3" t="n"/>
      <c r="F1288" s="3" t="n"/>
      <c r="G1288" s="3" t="n"/>
      <c r="H1288" s="4" t="n"/>
      <c r="L1288" s="2" t="n"/>
      <c r="N1288" s="2" t="n"/>
    </row>
    <row r="1289">
      <c r="D1289" s="2" t="n"/>
      <c r="E1289" s="3" t="n"/>
      <c r="F1289" s="3" t="n"/>
      <c r="G1289" s="3" t="n"/>
      <c r="H1289" s="4" t="n"/>
      <c r="L1289" s="2" t="n"/>
      <c r="N1289" s="2" t="n"/>
    </row>
    <row r="1290">
      <c r="D1290" s="2" t="n"/>
      <c r="E1290" s="3" t="n"/>
      <c r="F1290" s="3" t="n"/>
      <c r="G1290" s="3" t="n"/>
      <c r="H1290" s="4" t="n"/>
      <c r="L1290" s="2" t="n"/>
      <c r="N1290" s="2" t="n"/>
    </row>
    <row r="1291">
      <c r="D1291" s="2" t="n"/>
      <c r="E1291" s="3" t="n"/>
      <c r="F1291" s="3" t="n"/>
      <c r="G1291" s="3" t="n"/>
      <c r="H1291" s="4" t="n"/>
      <c r="L1291" s="2" t="n"/>
      <c r="N1291" s="2" t="n"/>
    </row>
    <row r="1292">
      <c r="D1292" s="2" t="n"/>
      <c r="E1292" s="3" t="n"/>
      <c r="F1292" s="3" t="n"/>
      <c r="G1292" s="3" t="n"/>
      <c r="H1292" s="4" t="n"/>
      <c r="L1292" s="2" t="n"/>
      <c r="N1292" s="2" t="n"/>
    </row>
    <row r="1293">
      <c r="D1293" s="2" t="n"/>
      <c r="E1293" s="3" t="n"/>
      <c r="F1293" s="3" t="n"/>
      <c r="G1293" s="3" t="n"/>
      <c r="H1293" s="4" t="n"/>
      <c r="L1293" s="2" t="n"/>
      <c r="N1293" s="2" t="n"/>
    </row>
    <row r="1294">
      <c r="D1294" s="2" t="n"/>
      <c r="E1294" s="3" t="n"/>
      <c r="F1294" s="3" t="n"/>
      <c r="G1294" s="3" t="n"/>
      <c r="H1294" s="4" t="n"/>
      <c r="L1294" s="2" t="n"/>
      <c r="N1294" s="2" t="n"/>
    </row>
    <row r="1295">
      <c r="D1295" s="2" t="n"/>
      <c r="E1295" s="3" t="n"/>
      <c r="F1295" s="3" t="n"/>
      <c r="G1295" s="3" t="n"/>
      <c r="H1295" s="4" t="n"/>
      <c r="L1295" s="2" t="n"/>
      <c r="N1295" s="2" t="n"/>
    </row>
    <row r="1296">
      <c r="D1296" s="2" t="n"/>
      <c r="E1296" s="3" t="n"/>
      <c r="F1296" s="3" t="n"/>
      <c r="G1296" s="3" t="n"/>
      <c r="H1296" s="4" t="n"/>
      <c r="L1296" s="2" t="n"/>
      <c r="N1296" s="2" t="n"/>
    </row>
    <row r="1297">
      <c r="D1297" s="2" t="n"/>
      <c r="E1297" s="3" t="n"/>
      <c r="F1297" s="3" t="n"/>
      <c r="G1297" s="3" t="n"/>
      <c r="H1297" s="4" t="n"/>
      <c r="L1297" s="2" t="n"/>
      <c r="N1297" s="2" t="n"/>
    </row>
    <row r="1298">
      <c r="D1298" s="2" t="n"/>
      <c r="E1298" s="3" t="n"/>
      <c r="F1298" s="3" t="n"/>
      <c r="G1298" s="3" t="n"/>
      <c r="H1298" s="4" t="n"/>
      <c r="L1298" s="2" t="n"/>
      <c r="N1298" s="2" t="n"/>
    </row>
    <row r="1299">
      <c r="D1299" s="2" t="n"/>
      <c r="E1299" s="3" t="n"/>
      <c r="F1299" s="3" t="n"/>
      <c r="G1299" s="3" t="n"/>
      <c r="H1299" s="4" t="n"/>
      <c r="L1299" s="2" t="n"/>
      <c r="N1299" s="2" t="n"/>
    </row>
    <row r="1300">
      <c r="D1300" s="2" t="n"/>
      <c r="E1300" s="3" t="n"/>
      <c r="F1300" s="3" t="n"/>
      <c r="G1300" s="3" t="n"/>
      <c r="H1300" s="4" t="n"/>
      <c r="L1300" s="2" t="n"/>
      <c r="N1300" s="2" t="n"/>
    </row>
    <row r="1301">
      <c r="D1301" s="2" t="n"/>
      <c r="E1301" s="3" t="n"/>
      <c r="F1301" s="3" t="n"/>
      <c r="G1301" s="3" t="n"/>
      <c r="H1301" s="4" t="n"/>
      <c r="L1301" s="2" t="n"/>
      <c r="N1301" s="2" t="n"/>
    </row>
    <row r="1302">
      <c r="D1302" s="2" t="n"/>
      <c r="E1302" s="3" t="n"/>
      <c r="F1302" s="3" t="n"/>
      <c r="G1302" s="3" t="n"/>
      <c r="H1302" s="4" t="n"/>
      <c r="L1302" s="2" t="n"/>
      <c r="N1302" s="2" t="n"/>
    </row>
    <row r="1303">
      <c r="D1303" s="2" t="n"/>
      <c r="E1303" s="3" t="n"/>
      <c r="F1303" s="3" t="n"/>
      <c r="G1303" s="3" t="n"/>
      <c r="H1303" s="4" t="n"/>
      <c r="L1303" s="2" t="n"/>
      <c r="N1303" s="2" t="n"/>
    </row>
    <row r="1304">
      <c r="D1304" s="2" t="n"/>
      <c r="E1304" s="3" t="n"/>
      <c r="F1304" s="3" t="n"/>
      <c r="G1304" s="3" t="n"/>
      <c r="H1304" s="4" t="n"/>
      <c r="L1304" s="2" t="n"/>
      <c r="N1304" s="2" t="n"/>
    </row>
    <row r="1305">
      <c r="D1305" s="2" t="n"/>
      <c r="E1305" s="3" t="n"/>
      <c r="F1305" s="3" t="n"/>
      <c r="G1305" s="3" t="n"/>
      <c r="H1305" s="4" t="n"/>
      <c r="L1305" s="2" t="n"/>
      <c r="N1305" s="2" t="n"/>
    </row>
    <row r="1306">
      <c r="D1306" s="2" t="n"/>
      <c r="E1306" s="3" t="n"/>
      <c r="F1306" s="3" t="n"/>
      <c r="G1306" s="3" t="n"/>
      <c r="H1306" s="4" t="n"/>
      <c r="L1306" s="2" t="n"/>
      <c r="N1306" s="2" t="n"/>
    </row>
    <row r="1307">
      <c r="D1307" s="2" t="n"/>
      <c r="E1307" s="3" t="n"/>
      <c r="F1307" s="3" t="n"/>
      <c r="G1307" s="3" t="n"/>
      <c r="H1307" s="4" t="n"/>
      <c r="L1307" s="2" t="n"/>
      <c r="N1307" s="2" t="n"/>
    </row>
    <row r="1308">
      <c r="D1308" s="2" t="n"/>
      <c r="E1308" s="3" t="n"/>
      <c r="F1308" s="3" t="n"/>
      <c r="G1308" s="3" t="n"/>
      <c r="H1308" s="4" t="n"/>
      <c r="L1308" s="2" t="n"/>
      <c r="N1308" s="2" t="n"/>
    </row>
    <row r="1309">
      <c r="D1309" s="2" t="n"/>
      <c r="E1309" s="3" t="n"/>
      <c r="F1309" s="3" t="n"/>
      <c r="G1309" s="3" t="n"/>
      <c r="H1309" s="4" t="n"/>
      <c r="L1309" s="2" t="n"/>
      <c r="N1309" s="2" t="n"/>
    </row>
    <row r="1310">
      <c r="D1310" s="2" t="n"/>
      <c r="E1310" s="3" t="n"/>
      <c r="F1310" s="3" t="n"/>
      <c r="G1310" s="3" t="n"/>
      <c r="H1310" s="4" t="n"/>
      <c r="L1310" s="2" t="n"/>
      <c r="N1310" s="2" t="n"/>
    </row>
    <row r="1311">
      <c r="D1311" s="2" t="n"/>
      <c r="E1311" s="3" t="n"/>
      <c r="F1311" s="3" t="n"/>
      <c r="G1311" s="3" t="n"/>
      <c r="H1311" s="4" t="n"/>
      <c r="L1311" s="2" t="n"/>
      <c r="N1311" s="2" t="n"/>
    </row>
    <row r="1312">
      <c r="D1312" s="2" t="n"/>
      <c r="E1312" s="3" t="n"/>
      <c r="F1312" s="3" t="n"/>
      <c r="G1312" s="3" t="n"/>
      <c r="H1312" s="4" t="n"/>
      <c r="L1312" s="2" t="n"/>
      <c r="N1312" s="2" t="n"/>
    </row>
    <row r="1313">
      <c r="D1313" s="2" t="n"/>
      <c r="E1313" s="3" t="n"/>
      <c r="F1313" s="3" t="n"/>
      <c r="G1313" s="3" t="n"/>
      <c r="H1313" s="4" t="n"/>
      <c r="L1313" s="2" t="n"/>
      <c r="N1313" s="2" t="n"/>
    </row>
    <row r="1314">
      <c r="D1314" s="2" t="n"/>
      <c r="E1314" s="3" t="n"/>
      <c r="F1314" s="3" t="n"/>
      <c r="G1314" s="3" t="n"/>
      <c r="H1314" s="4" t="n"/>
      <c r="L1314" s="2" t="n"/>
      <c r="N1314" s="2" t="n"/>
    </row>
    <row r="1315">
      <c r="D1315" s="2" t="n"/>
      <c r="E1315" s="3" t="n"/>
      <c r="F1315" s="3" t="n"/>
      <c r="G1315" s="3" t="n"/>
      <c r="H1315" s="4" t="n"/>
      <c r="L1315" s="2" t="n"/>
      <c r="N1315" s="2" t="n"/>
    </row>
    <row r="1316">
      <c r="D1316" s="2" t="n"/>
      <c r="E1316" s="3" t="n"/>
      <c r="F1316" s="3" t="n"/>
      <c r="G1316" s="3" t="n"/>
      <c r="H1316" s="4" t="n"/>
      <c r="L1316" s="2" t="n"/>
      <c r="N1316" s="2" t="n"/>
    </row>
    <row r="1317">
      <c r="D1317" s="2" t="n"/>
      <c r="E1317" s="3" t="n"/>
      <c r="F1317" s="3" t="n"/>
      <c r="G1317" s="3" t="n"/>
      <c r="H1317" s="4" t="n"/>
      <c r="L1317" s="2" t="n"/>
      <c r="N1317" s="2" t="n"/>
    </row>
    <row r="1318">
      <c r="D1318" s="2" t="n"/>
      <c r="E1318" s="3" t="n"/>
      <c r="F1318" s="3" t="n"/>
      <c r="G1318" s="3" t="n"/>
      <c r="H1318" s="4" t="n"/>
      <c r="L1318" s="2" t="n"/>
      <c r="N1318" s="2" t="n"/>
    </row>
    <row r="1319">
      <c r="D1319" s="2" t="n"/>
      <c r="E1319" s="3" t="n"/>
      <c r="F1319" s="3" t="n"/>
      <c r="G1319" s="3" t="n"/>
      <c r="H1319" s="4" t="n"/>
      <c r="L1319" s="2" t="n"/>
      <c r="N1319" s="2" t="n"/>
    </row>
    <row r="1320">
      <c r="D1320" s="2" t="n"/>
      <c r="E1320" s="3" t="n"/>
      <c r="F1320" s="3" t="n"/>
      <c r="G1320" s="3" t="n"/>
      <c r="H1320" s="4" t="n"/>
      <c r="L1320" s="2" t="n"/>
      <c r="N1320" s="2" t="n"/>
    </row>
    <row r="1321">
      <c r="D1321" s="2" t="n"/>
      <c r="E1321" s="3" t="n"/>
      <c r="F1321" s="3" t="n"/>
      <c r="G1321" s="3" t="n"/>
      <c r="H1321" s="4" t="n"/>
      <c r="L1321" s="2" t="n"/>
      <c r="N1321" s="2" t="n"/>
    </row>
    <row r="1322">
      <c r="D1322" s="2" t="n"/>
      <c r="E1322" s="3" t="n"/>
      <c r="F1322" s="3" t="n"/>
      <c r="G1322" s="3" t="n"/>
      <c r="H1322" s="4" t="n"/>
      <c r="L1322" s="2" t="n"/>
      <c r="N1322" s="2" t="n"/>
    </row>
    <row r="1323">
      <c r="D1323" s="2" t="n"/>
      <c r="E1323" s="3" t="n"/>
      <c r="F1323" s="3" t="n"/>
      <c r="G1323" s="3" t="n"/>
      <c r="H1323" s="4" t="n"/>
      <c r="L1323" s="2" t="n"/>
      <c r="N1323" s="2" t="n"/>
    </row>
    <row r="1324">
      <c r="D1324" s="2" t="n"/>
      <c r="E1324" s="3" t="n"/>
      <c r="F1324" s="3" t="n"/>
      <c r="G1324" s="3" t="n"/>
      <c r="H1324" s="4" t="n"/>
      <c r="L1324" s="2" t="n"/>
      <c r="N1324" s="2" t="n"/>
    </row>
    <row r="1325">
      <c r="D1325" s="2" t="n"/>
      <c r="E1325" s="3" t="n"/>
      <c r="F1325" s="3" t="n"/>
      <c r="G1325" s="3" t="n"/>
      <c r="H1325" s="4" t="n"/>
      <c r="L1325" s="2" t="n"/>
      <c r="N1325" s="2" t="n"/>
    </row>
    <row r="1326">
      <c r="D1326" s="2" t="n"/>
      <c r="E1326" s="3" t="n"/>
      <c r="F1326" s="3" t="n"/>
      <c r="G1326" s="3" t="n"/>
      <c r="H1326" s="4" t="n"/>
      <c r="L1326" s="2" t="n"/>
      <c r="N1326" s="2" t="n"/>
    </row>
    <row r="1327">
      <c r="D1327" s="2" t="n"/>
      <c r="E1327" s="3" t="n"/>
      <c r="F1327" s="3" t="n"/>
      <c r="G1327" s="3" t="n"/>
      <c r="H1327" s="4" t="n"/>
      <c r="L1327" s="2" t="n"/>
      <c r="N1327" s="2" t="n"/>
    </row>
    <row r="1328">
      <c r="D1328" s="2" t="n"/>
      <c r="E1328" s="3" t="n"/>
      <c r="F1328" s="3" t="n"/>
      <c r="G1328" s="3" t="n"/>
      <c r="H1328" s="4" t="n"/>
      <c r="L1328" s="2" t="n"/>
      <c r="N1328" s="2" t="n"/>
    </row>
    <row r="1329">
      <c r="D1329" s="2" t="n"/>
      <c r="E1329" s="3" t="n"/>
      <c r="F1329" s="3" t="n"/>
      <c r="G1329" s="3" t="n"/>
      <c r="H1329" s="4" t="n"/>
      <c r="L1329" s="2" t="n"/>
      <c r="N1329" s="2" t="n"/>
    </row>
    <row r="1330">
      <c r="D1330" s="2" t="n"/>
      <c r="E1330" s="3" t="n"/>
      <c r="F1330" s="3" t="n"/>
      <c r="G1330" s="3" t="n"/>
      <c r="H1330" s="4" t="n"/>
      <c r="L1330" s="2" t="n"/>
      <c r="N1330" s="2" t="n"/>
    </row>
    <row r="1331">
      <c r="D1331" s="2" t="n"/>
      <c r="E1331" s="3" t="n"/>
      <c r="F1331" s="3" t="n"/>
      <c r="G1331" s="3" t="n"/>
      <c r="H1331" s="4" t="n"/>
      <c r="L1331" s="2" t="n"/>
      <c r="N1331" s="2" t="n"/>
    </row>
    <row r="1332">
      <c r="D1332" s="2" t="n"/>
      <c r="E1332" s="3" t="n"/>
      <c r="F1332" s="3" t="n"/>
      <c r="G1332" s="3" t="n"/>
      <c r="H1332" s="4" t="n"/>
      <c r="L1332" s="2" t="n"/>
      <c r="N1332" s="2" t="n"/>
    </row>
    <row r="1333">
      <c r="D1333" s="2" t="n"/>
      <c r="E1333" s="3" t="n"/>
      <c r="F1333" s="3" t="n"/>
      <c r="G1333" s="3" t="n"/>
      <c r="H1333" s="4" t="n"/>
      <c r="L1333" s="2" t="n"/>
      <c r="N1333" s="2" t="n"/>
    </row>
    <row r="1334">
      <c r="D1334" s="2" t="n"/>
      <c r="E1334" s="3" t="n"/>
      <c r="F1334" s="3" t="n"/>
      <c r="G1334" s="3" t="n"/>
      <c r="H1334" s="4" t="n"/>
      <c r="L1334" s="2" t="n"/>
      <c r="N1334" s="2" t="n"/>
    </row>
    <row r="1335">
      <c r="D1335" s="2" t="n"/>
      <c r="E1335" s="3" t="n"/>
      <c r="F1335" s="3" t="n"/>
      <c r="G1335" s="3" t="n"/>
      <c r="H1335" s="4" t="n"/>
      <c r="L1335" s="2" t="n"/>
      <c r="N1335" s="2" t="n"/>
    </row>
    <row r="1336">
      <c r="D1336" s="2" t="n"/>
      <c r="E1336" s="3" t="n"/>
      <c r="F1336" s="3" t="n"/>
      <c r="G1336" s="3" t="n"/>
      <c r="H1336" s="4" t="n"/>
      <c r="L1336" s="2" t="n"/>
      <c r="N1336" s="2" t="n"/>
    </row>
    <row r="1337">
      <c r="D1337" s="2" t="n"/>
      <c r="E1337" s="3" t="n"/>
      <c r="F1337" s="3" t="n"/>
      <c r="G1337" s="3" t="n"/>
      <c r="H1337" s="4" t="n"/>
      <c r="L1337" s="2" t="n"/>
      <c r="N1337" s="2" t="n"/>
    </row>
    <row r="1338">
      <c r="D1338" s="2" t="n"/>
      <c r="E1338" s="3" t="n"/>
      <c r="F1338" s="3" t="n"/>
      <c r="G1338" s="3" t="n"/>
      <c r="H1338" s="4" t="n"/>
      <c r="L1338" s="2" t="n"/>
      <c r="N1338" s="2" t="n"/>
    </row>
    <row r="1339">
      <c r="D1339" s="2" t="n"/>
      <c r="E1339" s="3" t="n"/>
      <c r="F1339" s="3" t="n"/>
      <c r="G1339" s="3" t="n"/>
      <c r="H1339" s="4" t="n"/>
      <c r="L1339" s="2" t="n"/>
      <c r="N1339" s="2" t="n"/>
    </row>
    <row r="1340">
      <c r="D1340" s="2" t="n"/>
      <c r="E1340" s="3" t="n"/>
      <c r="F1340" s="3" t="n"/>
      <c r="G1340" s="3" t="n"/>
      <c r="H1340" s="4" t="n"/>
      <c r="L1340" s="2" t="n"/>
      <c r="N1340" s="2" t="n"/>
    </row>
    <row r="1341">
      <c r="D1341" s="2" t="n"/>
      <c r="E1341" s="3" t="n"/>
      <c r="F1341" s="3" t="n"/>
      <c r="G1341" s="3" t="n"/>
      <c r="H1341" s="4" t="n"/>
      <c r="L1341" s="2" t="n"/>
      <c r="N1341" s="2" t="n"/>
    </row>
    <row r="1342">
      <c r="D1342" s="2" t="n"/>
      <c r="E1342" s="3" t="n"/>
      <c r="F1342" s="3" t="n"/>
      <c r="G1342" s="3" t="n"/>
      <c r="H1342" s="4" t="n"/>
      <c r="L1342" s="2" t="n"/>
      <c r="N1342" s="2" t="n"/>
    </row>
    <row r="1343">
      <c r="D1343" s="2" t="n"/>
      <c r="E1343" s="3" t="n"/>
      <c r="F1343" s="3" t="n"/>
      <c r="G1343" s="3" t="n"/>
      <c r="H1343" s="4" t="n"/>
      <c r="L1343" s="2" t="n"/>
      <c r="N1343" s="2" t="n"/>
    </row>
    <row r="1344">
      <c r="D1344" s="2" t="n"/>
      <c r="E1344" s="3" t="n"/>
      <c r="F1344" s="3" t="n"/>
      <c r="G1344" s="3" t="n"/>
      <c r="H1344" s="4" t="n"/>
      <c r="L1344" s="2" t="n"/>
      <c r="N1344" s="2" t="n"/>
    </row>
    <row r="1345">
      <c r="D1345" s="2" t="n"/>
      <c r="E1345" s="3" t="n"/>
      <c r="F1345" s="3" t="n"/>
      <c r="G1345" s="3" t="n"/>
      <c r="H1345" s="4" t="n"/>
      <c r="L1345" s="2" t="n"/>
      <c r="N1345" s="2" t="n"/>
    </row>
    <row r="1346">
      <c r="D1346" s="2" t="n"/>
      <c r="E1346" s="3" t="n"/>
      <c r="F1346" s="3" t="n"/>
      <c r="G1346" s="3" t="n"/>
      <c r="H1346" s="4" t="n"/>
      <c r="L1346" s="2" t="n"/>
      <c r="N1346" s="2" t="n"/>
    </row>
    <row r="1347">
      <c r="D1347" s="2" t="n"/>
      <c r="E1347" s="3" t="n"/>
      <c r="F1347" s="3" t="n"/>
      <c r="G1347" s="3" t="n"/>
      <c r="H1347" s="4" t="n"/>
      <c r="L1347" s="2" t="n"/>
      <c r="N1347" s="2" t="n"/>
    </row>
    <row r="1348">
      <c r="D1348" s="2" t="n"/>
      <c r="E1348" s="3" t="n"/>
      <c r="F1348" s="3" t="n"/>
      <c r="G1348" s="3" t="n"/>
      <c r="H1348" s="4" t="n"/>
      <c r="L1348" s="2" t="n"/>
      <c r="N1348" s="2" t="n"/>
    </row>
    <row r="1349">
      <c r="D1349" s="2" t="n"/>
      <c r="E1349" s="3" t="n"/>
      <c r="F1349" s="3" t="n"/>
      <c r="G1349" s="3" t="n"/>
      <c r="H1349" s="4" t="n"/>
      <c r="L1349" s="2" t="n"/>
      <c r="N1349" s="2" t="n"/>
    </row>
    <row r="1350">
      <c r="D1350" s="2" t="n"/>
      <c r="E1350" s="3" t="n"/>
      <c r="F1350" s="3" t="n"/>
      <c r="G1350" s="3" t="n"/>
      <c r="H1350" s="4" t="n"/>
      <c r="L1350" s="2" t="n"/>
      <c r="N1350" s="2" t="n"/>
    </row>
    <row r="1351">
      <c r="D1351" s="2" t="n"/>
      <c r="E1351" s="3" t="n"/>
      <c r="F1351" s="3" t="n"/>
      <c r="G1351" s="3" t="n"/>
      <c r="H1351" s="4" t="n"/>
      <c r="L1351" s="2" t="n"/>
      <c r="N1351" s="2" t="n"/>
    </row>
    <row r="1352">
      <c r="D1352" s="2" t="n"/>
      <c r="E1352" s="3" t="n"/>
      <c r="F1352" s="3" t="n"/>
      <c r="G1352" s="3" t="n"/>
      <c r="H1352" s="4" t="n"/>
      <c r="L1352" s="2" t="n"/>
      <c r="N1352" s="2" t="n"/>
    </row>
    <row r="1353">
      <c r="D1353" s="2" t="n"/>
      <c r="E1353" s="3" t="n"/>
      <c r="F1353" s="3" t="n"/>
      <c r="G1353" s="3" t="n"/>
      <c r="H1353" s="4" t="n"/>
      <c r="L1353" s="2" t="n"/>
      <c r="N1353" s="2" t="n"/>
    </row>
    <row r="1354">
      <c r="D1354" s="2" t="n"/>
      <c r="E1354" s="3" t="n"/>
      <c r="F1354" s="3" t="n"/>
      <c r="G1354" s="3" t="n"/>
      <c r="H1354" s="4" t="n"/>
      <c r="L1354" s="2" t="n"/>
      <c r="N1354" s="2" t="n"/>
    </row>
    <row r="1355">
      <c r="D1355" s="2" t="n"/>
      <c r="E1355" s="3" t="n"/>
      <c r="F1355" s="3" t="n"/>
      <c r="G1355" s="3" t="n"/>
      <c r="H1355" s="4" t="n"/>
      <c r="L1355" s="2" t="n"/>
      <c r="N1355" s="2" t="n"/>
    </row>
    <row r="1356">
      <c r="D1356" s="2" t="n"/>
      <c r="E1356" s="3" t="n"/>
      <c r="F1356" s="3" t="n"/>
      <c r="G1356" s="3" t="n"/>
      <c r="H1356" s="4" t="n"/>
      <c r="L1356" s="2" t="n"/>
      <c r="N1356" s="2" t="n"/>
    </row>
    <row r="1357">
      <c r="D1357" s="2" t="n"/>
      <c r="E1357" s="3" t="n"/>
      <c r="F1357" s="3" t="n"/>
      <c r="G1357" s="3" t="n"/>
      <c r="H1357" s="4" t="n"/>
      <c r="L1357" s="2" t="n"/>
      <c r="N1357" s="2" t="n"/>
    </row>
    <row r="1358">
      <c r="D1358" s="2" t="n"/>
      <c r="E1358" s="3" t="n"/>
      <c r="F1358" s="3" t="n"/>
      <c r="G1358" s="3" t="n"/>
      <c r="H1358" s="4" t="n"/>
      <c r="L1358" s="2" t="n"/>
      <c r="N1358" s="2" t="n"/>
    </row>
    <row r="1359">
      <c r="D1359" s="2" t="n"/>
      <c r="E1359" s="3" t="n"/>
      <c r="F1359" s="3" t="n"/>
      <c r="G1359" s="3" t="n"/>
      <c r="H1359" s="4" t="n"/>
      <c r="L1359" s="2" t="n"/>
      <c r="N1359" s="2" t="n"/>
    </row>
    <row r="1360">
      <c r="D1360" s="2" t="n"/>
      <c r="E1360" s="3" t="n"/>
      <c r="F1360" s="3" t="n"/>
      <c r="G1360" s="3" t="n"/>
      <c r="H1360" s="4" t="n"/>
      <c r="L1360" s="2" t="n"/>
      <c r="N1360" s="2" t="n"/>
    </row>
    <row r="1361">
      <c r="D1361" s="2" t="n"/>
      <c r="E1361" s="3" t="n"/>
      <c r="F1361" s="3" t="n"/>
      <c r="G1361" s="3" t="n"/>
      <c r="H1361" s="4" t="n"/>
      <c r="L1361" s="2" t="n"/>
      <c r="N1361" s="2" t="n"/>
    </row>
    <row r="1362">
      <c r="D1362" s="2" t="n"/>
      <c r="E1362" s="3" t="n"/>
      <c r="F1362" s="3" t="n"/>
      <c r="G1362" s="3" t="n"/>
      <c r="H1362" s="4" t="n"/>
      <c r="L1362" s="2" t="n"/>
      <c r="N1362" s="2" t="n"/>
    </row>
    <row r="1363">
      <c r="D1363" s="2" t="n"/>
      <c r="E1363" s="3" t="n"/>
      <c r="F1363" s="3" t="n"/>
      <c r="G1363" s="3" t="n"/>
      <c r="H1363" s="4" t="n"/>
      <c r="L1363" s="2" t="n"/>
      <c r="N1363" s="2" t="n"/>
    </row>
    <row r="1364">
      <c r="D1364" s="2" t="n"/>
      <c r="E1364" s="3" t="n"/>
      <c r="F1364" s="3" t="n"/>
      <c r="G1364" s="3" t="n"/>
      <c r="H1364" s="4" t="n"/>
      <c r="L1364" s="2" t="n"/>
      <c r="N1364" s="2" t="n"/>
    </row>
    <row r="1365">
      <c r="D1365" s="2" t="n"/>
      <c r="E1365" s="3" t="n"/>
      <c r="F1365" s="3" t="n"/>
      <c r="G1365" s="3" t="n"/>
      <c r="H1365" s="4" t="n"/>
      <c r="L1365" s="2" t="n"/>
      <c r="N1365" s="2" t="n"/>
    </row>
    <row r="1366">
      <c r="D1366" s="2" t="n"/>
      <c r="E1366" s="3" t="n"/>
      <c r="F1366" s="3" t="n"/>
      <c r="G1366" s="3" t="n"/>
      <c r="H1366" s="4" t="n"/>
      <c r="L1366" s="2" t="n"/>
      <c r="N1366" s="2" t="n"/>
    </row>
    <row r="1367">
      <c r="D1367" s="2" t="n"/>
      <c r="E1367" s="3" t="n"/>
      <c r="F1367" s="3" t="n"/>
      <c r="G1367" s="3" t="n"/>
      <c r="H1367" s="4" t="n"/>
      <c r="L1367" s="2" t="n"/>
      <c r="N1367" s="2" t="n"/>
    </row>
    <row r="1368">
      <c r="D1368" s="2" t="n"/>
      <c r="E1368" s="3" t="n"/>
      <c r="F1368" s="3" t="n"/>
      <c r="G1368" s="3" t="n"/>
      <c r="H1368" s="4" t="n"/>
      <c r="L1368" s="2" t="n"/>
      <c r="N1368" s="2" t="n"/>
    </row>
    <row r="1369">
      <c r="D1369" s="2" t="n"/>
      <c r="E1369" s="3" t="n"/>
      <c r="F1369" s="3" t="n"/>
      <c r="G1369" s="3" t="n"/>
      <c r="H1369" s="4" t="n"/>
      <c r="L1369" s="2" t="n"/>
      <c r="N1369" s="2" t="n"/>
    </row>
    <row r="1370">
      <c r="D1370" s="2" t="n"/>
      <c r="E1370" s="3" t="n"/>
      <c r="F1370" s="3" t="n"/>
      <c r="G1370" s="3" t="n"/>
      <c r="H1370" s="4" t="n"/>
      <c r="L1370" s="2" t="n"/>
      <c r="N1370" s="2" t="n"/>
    </row>
    <row r="1371">
      <c r="D1371" s="2" t="n"/>
      <c r="E1371" s="3" t="n"/>
      <c r="F1371" s="3" t="n"/>
      <c r="G1371" s="3" t="n"/>
      <c r="H1371" s="4" t="n"/>
      <c r="L1371" s="2" t="n"/>
      <c r="N1371" s="2" t="n"/>
    </row>
    <row r="1372">
      <c r="D1372" s="2" t="n"/>
      <c r="E1372" s="3" t="n"/>
      <c r="F1372" s="3" t="n"/>
      <c r="G1372" s="3" t="n"/>
      <c r="H1372" s="4" t="n"/>
      <c r="L1372" s="2" t="n"/>
      <c r="N1372" s="2" t="n"/>
    </row>
    <row r="1373">
      <c r="D1373" s="2" t="n"/>
      <c r="E1373" s="3" t="n"/>
      <c r="F1373" s="3" t="n"/>
      <c r="G1373" s="3" t="n"/>
      <c r="H1373" s="4" t="n"/>
      <c r="L1373" s="2" t="n"/>
      <c r="N1373" s="2" t="n"/>
    </row>
    <row r="1374">
      <c r="D1374" s="2" t="n"/>
      <c r="E1374" s="3" t="n"/>
      <c r="F1374" s="3" t="n"/>
      <c r="G1374" s="3" t="n"/>
      <c r="H1374" s="4" t="n"/>
      <c r="L1374" s="2" t="n"/>
      <c r="N1374" s="2" t="n"/>
    </row>
    <row r="1375">
      <c r="D1375" s="2" t="n"/>
      <c r="E1375" s="3" t="n"/>
      <c r="F1375" s="3" t="n"/>
      <c r="G1375" s="3" t="n"/>
      <c r="H1375" s="4" t="n"/>
      <c r="L1375" s="2" t="n"/>
      <c r="N1375" s="2" t="n"/>
    </row>
    <row r="1376">
      <c r="D1376" s="2" t="n"/>
      <c r="E1376" s="3" t="n"/>
      <c r="F1376" s="3" t="n"/>
      <c r="G1376" s="3" t="n"/>
      <c r="H1376" s="4" t="n"/>
      <c r="L1376" s="2" t="n"/>
      <c r="N1376" s="2" t="n"/>
    </row>
    <row r="1377">
      <c r="D1377" s="2" t="n"/>
      <c r="E1377" s="3" t="n"/>
      <c r="F1377" s="3" t="n"/>
      <c r="G1377" s="3" t="n"/>
      <c r="H1377" s="4" t="n"/>
      <c r="L1377" s="2" t="n"/>
      <c r="N1377" s="2" t="n"/>
    </row>
    <row r="1378">
      <c r="D1378" s="2" t="n"/>
      <c r="E1378" s="3" t="n"/>
      <c r="F1378" s="3" t="n"/>
      <c r="G1378" s="3" t="n"/>
      <c r="H1378" s="4" t="n"/>
      <c r="L1378" s="2" t="n"/>
      <c r="N1378" s="2" t="n"/>
    </row>
    <row r="1379">
      <c r="D1379" s="2" t="n"/>
      <c r="E1379" s="3" t="n"/>
      <c r="F1379" s="3" t="n"/>
      <c r="G1379" s="3" t="n"/>
      <c r="H1379" s="4" t="n"/>
      <c r="L1379" s="2" t="n"/>
      <c r="N1379" s="2" t="n"/>
    </row>
    <row r="1380">
      <c r="D1380" s="2" t="n"/>
      <c r="E1380" s="3" t="n"/>
      <c r="F1380" s="3" t="n"/>
      <c r="G1380" s="3" t="n"/>
      <c r="H1380" s="4" t="n"/>
      <c r="L1380" s="2" t="n"/>
      <c r="N1380" s="2" t="n"/>
    </row>
    <row r="1381">
      <c r="D1381" s="2" t="n"/>
      <c r="E1381" s="3" t="n"/>
      <c r="F1381" s="3" t="n"/>
      <c r="G1381" s="3" t="n"/>
      <c r="H1381" s="4" t="n"/>
      <c r="L1381" s="2" t="n"/>
      <c r="N1381" s="2" t="n"/>
    </row>
    <row r="1382">
      <c r="D1382" s="2" t="n"/>
      <c r="E1382" s="3" t="n"/>
      <c r="F1382" s="3" t="n"/>
      <c r="G1382" s="3" t="n"/>
      <c r="H1382" s="4" t="n"/>
      <c r="L1382" s="2" t="n"/>
      <c r="N1382" s="2" t="n"/>
    </row>
    <row r="1383">
      <c r="D1383" s="2" t="n"/>
      <c r="E1383" s="3" t="n"/>
      <c r="F1383" s="3" t="n"/>
      <c r="G1383" s="3" t="n"/>
      <c r="H1383" s="4" t="n"/>
      <c r="L1383" s="2" t="n"/>
      <c r="N1383" s="2" t="n"/>
    </row>
    <row r="1384">
      <c r="D1384" s="2" t="n"/>
      <c r="E1384" s="3" t="n"/>
      <c r="F1384" s="3" t="n"/>
      <c r="G1384" s="3" t="n"/>
      <c r="H1384" s="4" t="n"/>
      <c r="L1384" s="2" t="n"/>
      <c r="N1384" s="2" t="n"/>
    </row>
    <row r="1385">
      <c r="D1385" s="2" t="n"/>
      <c r="E1385" s="3" t="n"/>
      <c r="F1385" s="3" t="n"/>
      <c r="G1385" s="3" t="n"/>
      <c r="H1385" s="4" t="n"/>
      <c r="L1385" s="2" t="n"/>
      <c r="N1385" s="2" t="n"/>
    </row>
    <row r="1386">
      <c r="D1386" s="2" t="n"/>
      <c r="E1386" s="3" t="n"/>
      <c r="F1386" s="3" t="n"/>
      <c r="G1386" s="3" t="n"/>
      <c r="H1386" s="4" t="n"/>
      <c r="L1386" s="2" t="n"/>
      <c r="N1386" s="2" t="n"/>
    </row>
    <row r="1387">
      <c r="D1387" s="2" t="n"/>
      <c r="E1387" s="3" t="n"/>
      <c r="F1387" s="3" t="n"/>
      <c r="G1387" s="3" t="n"/>
      <c r="H1387" s="4" t="n"/>
      <c r="L1387" s="2" t="n"/>
      <c r="N1387" s="2" t="n"/>
    </row>
    <row r="1388">
      <c r="D1388" s="2" t="n"/>
      <c r="E1388" s="3" t="n"/>
      <c r="F1388" s="3" t="n"/>
      <c r="G1388" s="3" t="n"/>
      <c r="H1388" s="4" t="n"/>
      <c r="L1388" s="2" t="n"/>
      <c r="N1388" s="2" t="n"/>
    </row>
    <row r="1389">
      <c r="D1389" s="2" t="n"/>
      <c r="E1389" s="3" t="n"/>
      <c r="F1389" s="3" t="n"/>
      <c r="G1389" s="3" t="n"/>
      <c r="H1389" s="4" t="n"/>
      <c r="L1389" s="2" t="n"/>
      <c r="N1389" s="2" t="n"/>
    </row>
    <row r="1390">
      <c r="D1390" s="2" t="n"/>
      <c r="E1390" s="3" t="n"/>
      <c r="F1390" s="3" t="n"/>
      <c r="G1390" s="3" t="n"/>
      <c r="H1390" s="4" t="n"/>
      <c r="L1390" s="2" t="n"/>
      <c r="N1390" s="2" t="n"/>
    </row>
    <row r="1391">
      <c r="D1391" s="2" t="n"/>
      <c r="E1391" s="3" t="n"/>
      <c r="F1391" s="3" t="n"/>
      <c r="G1391" s="3" t="n"/>
      <c r="H1391" s="4" t="n"/>
      <c r="L1391" s="2" t="n"/>
      <c r="N1391" s="2" t="n"/>
    </row>
    <row r="1392">
      <c r="D1392" s="2" t="n"/>
      <c r="E1392" s="3" t="n"/>
      <c r="F1392" s="3" t="n"/>
      <c r="G1392" s="3" t="n"/>
      <c r="H1392" s="4" t="n"/>
      <c r="L1392" s="2" t="n"/>
      <c r="N1392" s="2" t="n"/>
    </row>
    <row r="1393">
      <c r="D1393" s="2" t="n"/>
      <c r="E1393" s="3" t="n"/>
      <c r="F1393" s="3" t="n"/>
      <c r="G1393" s="3" t="n"/>
      <c r="H1393" s="4" t="n"/>
      <c r="L1393" s="2" t="n"/>
      <c r="N1393" s="2" t="n"/>
    </row>
    <row r="1394">
      <c r="D1394" s="2" t="n"/>
      <c r="E1394" s="3" t="n"/>
      <c r="F1394" s="3" t="n"/>
      <c r="G1394" s="3" t="n"/>
      <c r="H1394" s="4" t="n"/>
      <c r="L1394" s="2" t="n"/>
      <c r="N1394" s="2" t="n"/>
    </row>
    <row r="1395">
      <c r="D1395" s="2" t="n"/>
      <c r="E1395" s="3" t="n"/>
      <c r="F1395" s="3" t="n"/>
      <c r="G1395" s="3" t="n"/>
      <c r="H1395" s="4" t="n"/>
      <c r="L1395" s="2" t="n"/>
      <c r="N1395" s="2" t="n"/>
    </row>
    <row r="1396">
      <c r="D1396" s="2" t="n"/>
      <c r="E1396" s="3" t="n"/>
      <c r="F1396" s="3" t="n"/>
      <c r="G1396" s="3" t="n"/>
      <c r="H1396" s="4" t="n"/>
      <c r="L1396" s="2" t="n"/>
      <c r="N1396" s="2" t="n"/>
    </row>
    <row r="1397">
      <c r="D1397" s="2" t="n"/>
      <c r="E1397" s="3" t="n"/>
      <c r="F1397" s="3" t="n"/>
      <c r="G1397" s="3" t="n"/>
      <c r="H1397" s="4" t="n"/>
      <c r="L1397" s="2" t="n"/>
      <c r="N1397" s="2" t="n"/>
    </row>
    <row r="1398">
      <c r="D1398" s="2" t="n"/>
      <c r="E1398" s="3" t="n"/>
      <c r="F1398" s="3" t="n"/>
      <c r="G1398" s="3" t="n"/>
      <c r="H1398" s="4" t="n"/>
      <c r="L1398" s="2" t="n"/>
      <c r="N1398" s="2" t="n"/>
    </row>
    <row r="1399">
      <c r="D1399" s="2" t="n"/>
      <c r="E1399" s="3" t="n"/>
      <c r="F1399" s="3" t="n"/>
      <c r="G1399" s="3" t="n"/>
      <c r="H1399" s="4" t="n"/>
      <c r="L1399" s="2" t="n"/>
      <c r="N1399" s="2" t="n"/>
    </row>
    <row r="1400">
      <c r="D1400" s="2" t="n"/>
      <c r="E1400" s="3" t="n"/>
      <c r="F1400" s="3" t="n"/>
      <c r="G1400" s="3" t="n"/>
      <c r="H1400" s="4" t="n"/>
      <c r="L1400" s="2" t="n"/>
      <c r="N1400" s="2" t="n"/>
    </row>
    <row r="1401">
      <c r="D1401" s="2" t="n"/>
      <c r="E1401" s="3" t="n"/>
      <c r="F1401" s="3" t="n"/>
      <c r="G1401" s="3" t="n"/>
      <c r="H1401" s="4" t="n"/>
      <c r="L1401" s="2" t="n"/>
      <c r="N1401" s="2" t="n"/>
    </row>
    <row r="1402">
      <c r="D1402" s="2" t="n"/>
      <c r="E1402" s="3" t="n"/>
      <c r="F1402" s="3" t="n"/>
      <c r="G1402" s="3" t="n"/>
      <c r="H1402" s="4" t="n"/>
      <c r="L1402" s="2" t="n"/>
      <c r="N1402" s="2" t="n"/>
    </row>
    <row r="1403">
      <c r="D1403" s="2" t="n"/>
      <c r="E1403" s="3" t="n"/>
      <c r="F1403" s="3" t="n"/>
      <c r="G1403" s="3" t="n"/>
      <c r="H1403" s="4" t="n"/>
      <c r="L1403" s="2" t="n"/>
      <c r="N1403" s="2" t="n"/>
    </row>
    <row r="1404">
      <c r="D1404" s="2" t="n"/>
      <c r="E1404" s="3" t="n"/>
      <c r="F1404" s="3" t="n"/>
      <c r="G1404" s="3" t="n"/>
      <c r="H1404" s="4" t="n"/>
      <c r="L1404" s="2" t="n"/>
      <c r="N1404" s="2" t="n"/>
    </row>
    <row r="1405">
      <c r="D1405" s="2" t="n"/>
      <c r="E1405" s="3" t="n"/>
      <c r="F1405" s="3" t="n"/>
      <c r="G1405" s="3" t="n"/>
      <c r="H1405" s="4" t="n"/>
      <c r="L1405" s="2" t="n"/>
      <c r="N1405" s="2" t="n"/>
    </row>
    <row r="1406">
      <c r="D1406" s="2" t="n"/>
      <c r="E1406" s="3" t="n"/>
      <c r="F1406" s="3" t="n"/>
      <c r="G1406" s="3" t="n"/>
      <c r="H1406" s="4" t="n"/>
      <c r="L1406" s="2" t="n"/>
      <c r="N1406" s="2" t="n"/>
    </row>
    <row r="1407">
      <c r="D1407" s="2" t="n"/>
      <c r="E1407" s="3" t="n"/>
      <c r="F1407" s="3" t="n"/>
      <c r="G1407" s="3" t="n"/>
      <c r="H1407" s="4" t="n"/>
      <c r="L1407" s="2" t="n"/>
      <c r="N1407" s="2" t="n"/>
    </row>
    <row r="1408">
      <c r="D1408" s="2" t="n"/>
      <c r="E1408" s="3" t="n"/>
      <c r="F1408" s="3" t="n"/>
      <c r="G1408" s="3" t="n"/>
      <c r="H1408" s="4" t="n"/>
      <c r="L1408" s="2" t="n"/>
      <c r="N1408" s="2" t="n"/>
    </row>
    <row r="1409">
      <c r="D1409" s="2" t="n"/>
      <c r="E1409" s="3" t="n"/>
      <c r="F1409" s="3" t="n"/>
      <c r="G1409" s="3" t="n"/>
      <c r="H1409" s="4" t="n"/>
      <c r="L1409" s="2" t="n"/>
      <c r="N1409" s="2" t="n"/>
    </row>
    <row r="1410">
      <c r="D1410" s="2" t="n"/>
      <c r="E1410" s="3" t="n"/>
      <c r="F1410" s="3" t="n"/>
      <c r="G1410" s="3" t="n"/>
      <c r="H1410" s="4" t="n"/>
      <c r="L1410" s="2" t="n"/>
      <c r="N1410" s="2" t="n"/>
    </row>
    <row r="1411">
      <c r="D1411" s="2" t="n"/>
      <c r="E1411" s="3" t="n"/>
      <c r="F1411" s="3" t="n"/>
      <c r="G1411" s="3" t="n"/>
      <c r="H1411" s="4" t="n"/>
      <c r="L1411" s="2" t="n"/>
      <c r="N1411" s="2" t="n"/>
    </row>
    <row r="1412">
      <c r="D1412" s="2" t="n"/>
      <c r="E1412" s="3" t="n"/>
      <c r="F1412" s="3" t="n"/>
      <c r="G1412" s="3" t="n"/>
      <c r="H1412" s="4" t="n"/>
      <c r="L1412" s="2" t="n"/>
      <c r="N1412" s="2" t="n"/>
    </row>
    <row r="1413">
      <c r="D1413" s="2" t="n"/>
      <c r="E1413" s="3" t="n"/>
      <c r="F1413" s="3" t="n"/>
      <c r="G1413" s="3" t="n"/>
      <c r="H1413" s="4" t="n"/>
      <c r="L1413" s="2" t="n"/>
      <c r="N1413" s="2" t="n"/>
    </row>
    <row r="1414">
      <c r="D1414" s="2" t="n"/>
      <c r="E1414" s="3" t="n"/>
      <c r="F1414" s="3" t="n"/>
      <c r="G1414" s="3" t="n"/>
      <c r="H1414" s="4" t="n"/>
      <c r="L1414" s="2" t="n"/>
      <c r="N1414" s="2" t="n"/>
    </row>
    <row r="1415">
      <c r="D1415" s="2" t="n"/>
      <c r="E1415" s="3" t="n"/>
      <c r="F1415" s="3" t="n"/>
      <c r="G1415" s="3" t="n"/>
      <c r="H1415" s="4" t="n"/>
      <c r="L1415" s="2" t="n"/>
      <c r="N1415" s="2" t="n"/>
    </row>
    <row r="1416">
      <c r="D1416" s="2" t="n"/>
      <c r="E1416" s="3" t="n"/>
      <c r="F1416" s="3" t="n"/>
      <c r="G1416" s="3" t="n"/>
      <c r="H1416" s="4" t="n"/>
      <c r="L1416" s="2" t="n"/>
      <c r="N1416" s="2" t="n"/>
    </row>
    <row r="1417">
      <c r="D1417" s="2" t="n"/>
      <c r="E1417" s="3" t="n"/>
      <c r="F1417" s="3" t="n"/>
      <c r="G1417" s="3" t="n"/>
      <c r="H1417" s="4" t="n"/>
      <c r="L1417" s="2" t="n"/>
      <c r="N1417" s="2" t="n"/>
    </row>
    <row r="1418">
      <c r="D1418" s="2" t="n"/>
      <c r="E1418" s="3" t="n"/>
      <c r="F1418" s="3" t="n"/>
      <c r="G1418" s="3" t="n"/>
      <c r="H1418" s="4" t="n"/>
      <c r="L1418" s="2" t="n"/>
      <c r="N1418" s="2" t="n"/>
    </row>
    <row r="1419">
      <c r="D1419" s="2" t="n"/>
      <c r="E1419" s="3" t="n"/>
      <c r="F1419" s="3" t="n"/>
      <c r="G1419" s="3" t="n"/>
      <c r="H1419" s="4" t="n"/>
      <c r="L1419" s="2" t="n"/>
      <c r="N1419" s="2" t="n"/>
    </row>
    <row r="1420">
      <c r="D1420" s="2" t="n"/>
      <c r="E1420" s="3" t="n"/>
      <c r="F1420" s="3" t="n"/>
      <c r="G1420" s="3" t="n"/>
      <c r="H1420" s="4" t="n"/>
      <c r="L1420" s="2" t="n"/>
      <c r="N1420" s="2" t="n"/>
    </row>
    <row r="1421">
      <c r="D1421" s="2" t="n"/>
      <c r="E1421" s="3" t="n"/>
      <c r="F1421" s="3" t="n"/>
      <c r="G1421" s="3" t="n"/>
      <c r="H1421" s="4" t="n"/>
      <c r="L1421" s="2" t="n"/>
      <c r="N1421" s="2" t="n"/>
    </row>
    <row r="1422">
      <c r="D1422" s="2" t="n"/>
      <c r="E1422" s="3" t="n"/>
      <c r="F1422" s="3" t="n"/>
      <c r="G1422" s="3" t="n"/>
      <c r="H1422" s="4" t="n"/>
      <c r="L1422" s="2" t="n"/>
      <c r="N1422" s="2" t="n"/>
    </row>
    <row r="1423">
      <c r="D1423" s="2" t="n"/>
      <c r="E1423" s="3" t="n"/>
      <c r="F1423" s="3" t="n"/>
      <c r="G1423" s="3" t="n"/>
      <c r="H1423" s="4" t="n"/>
      <c r="L1423" s="2" t="n"/>
      <c r="N1423" s="2" t="n"/>
    </row>
    <row r="1424">
      <c r="D1424" s="2" t="n"/>
      <c r="E1424" s="3" t="n"/>
      <c r="F1424" s="3" t="n"/>
      <c r="G1424" s="3" t="n"/>
      <c r="H1424" s="4" t="n"/>
      <c r="L1424" s="2" t="n"/>
      <c r="N1424" s="2" t="n"/>
    </row>
    <row r="1425">
      <c r="D1425" s="2" t="n"/>
      <c r="E1425" s="3" t="n"/>
      <c r="F1425" s="3" t="n"/>
      <c r="G1425" s="3" t="n"/>
      <c r="H1425" s="4" t="n"/>
      <c r="L1425" s="2" t="n"/>
      <c r="N1425" s="2" t="n"/>
    </row>
    <row r="1426">
      <c r="D1426" s="2" t="n"/>
      <c r="E1426" s="3" t="n"/>
      <c r="F1426" s="3" t="n"/>
      <c r="G1426" s="3" t="n"/>
      <c r="H1426" s="4" t="n"/>
      <c r="L1426" s="2" t="n"/>
      <c r="N1426" s="2" t="n"/>
    </row>
    <row r="1427">
      <c r="D1427" s="2" t="n"/>
      <c r="E1427" s="3" t="n"/>
      <c r="F1427" s="3" t="n"/>
      <c r="G1427" s="3" t="n"/>
      <c r="H1427" s="4" t="n"/>
      <c r="L1427" s="2" t="n"/>
      <c r="N1427" s="2" t="n"/>
    </row>
    <row r="1428">
      <c r="D1428" s="2" t="n"/>
      <c r="E1428" s="3" t="n"/>
      <c r="F1428" s="3" t="n"/>
      <c r="G1428" s="3" t="n"/>
      <c r="H1428" s="4" t="n"/>
      <c r="L1428" s="2" t="n"/>
      <c r="N1428" s="2" t="n"/>
    </row>
    <row r="1429">
      <c r="D1429" s="2" t="n"/>
      <c r="E1429" s="3" t="n"/>
      <c r="F1429" s="3" t="n"/>
      <c r="G1429" s="3" t="n"/>
      <c r="H1429" s="4" t="n"/>
      <c r="L1429" s="2" t="n"/>
      <c r="N1429" s="2" t="n"/>
    </row>
    <row r="1430">
      <c r="D1430" s="2" t="n"/>
      <c r="E1430" s="3" t="n"/>
      <c r="F1430" s="3" t="n"/>
      <c r="G1430" s="3" t="n"/>
      <c r="H1430" s="4" t="n"/>
      <c r="L1430" s="2" t="n"/>
      <c r="N1430" s="2" t="n"/>
    </row>
    <row r="1431">
      <c r="D1431" s="2" t="n"/>
      <c r="E1431" s="3" t="n"/>
      <c r="F1431" s="3" t="n"/>
      <c r="G1431" s="3" t="n"/>
      <c r="H1431" s="4" t="n"/>
      <c r="L1431" s="2" t="n"/>
      <c r="N1431" s="2" t="n"/>
    </row>
    <row r="1432">
      <c r="D1432" s="2" t="n"/>
      <c r="E1432" s="3" t="n"/>
      <c r="F1432" s="3" t="n"/>
      <c r="G1432" s="3" t="n"/>
      <c r="H1432" s="4" t="n"/>
      <c r="L1432" s="2" t="n"/>
      <c r="N1432" s="2" t="n"/>
    </row>
    <row r="1433">
      <c r="D1433" s="2" t="n"/>
      <c r="E1433" s="3" t="n"/>
      <c r="F1433" s="3" t="n"/>
      <c r="G1433" s="3" t="n"/>
      <c r="H1433" s="4" t="n"/>
      <c r="L1433" s="2" t="n"/>
      <c r="N1433" s="2" t="n"/>
    </row>
    <row r="1434">
      <c r="D1434" s="2" t="n"/>
      <c r="E1434" s="3" t="n"/>
      <c r="F1434" s="3" t="n"/>
      <c r="G1434" s="3" t="n"/>
      <c r="H1434" s="4" t="n"/>
      <c r="L1434" s="2" t="n"/>
      <c r="N1434" s="2" t="n"/>
    </row>
    <row r="1435">
      <c r="D1435" s="2" t="n"/>
      <c r="E1435" s="3" t="n"/>
      <c r="F1435" s="3" t="n"/>
      <c r="G1435" s="3" t="n"/>
      <c r="H1435" s="4" t="n"/>
      <c r="L1435" s="2" t="n"/>
      <c r="N1435" s="2" t="n"/>
    </row>
    <row r="1436">
      <c r="D1436" s="2" t="n"/>
      <c r="E1436" s="3" t="n"/>
      <c r="F1436" s="3" t="n"/>
      <c r="G1436" s="3" t="n"/>
      <c r="H1436" s="4" t="n"/>
      <c r="L1436" s="2" t="n"/>
      <c r="N1436" s="2" t="n"/>
    </row>
    <row r="1437">
      <c r="D1437" s="2" t="n"/>
      <c r="E1437" s="3" t="n"/>
      <c r="F1437" s="3" t="n"/>
      <c r="G1437" s="3" t="n"/>
      <c r="H1437" s="4" t="n"/>
      <c r="L1437" s="2" t="n"/>
      <c r="N1437" s="2" t="n"/>
    </row>
    <row r="1438">
      <c r="D1438" s="2" t="n"/>
      <c r="E1438" s="3" t="n"/>
      <c r="F1438" s="3" t="n"/>
      <c r="G1438" s="3" t="n"/>
      <c r="H1438" s="4" t="n"/>
      <c r="L1438" s="2" t="n"/>
      <c r="N1438" s="2" t="n"/>
    </row>
    <row r="1439">
      <c r="D1439" s="2" t="n"/>
      <c r="E1439" s="3" t="n"/>
      <c r="F1439" s="3" t="n"/>
      <c r="G1439" s="3" t="n"/>
      <c r="H1439" s="4" t="n"/>
      <c r="L1439" s="2" t="n"/>
      <c r="N1439" s="2" t="n"/>
    </row>
    <row r="1440">
      <c r="D1440" s="2" t="n"/>
      <c r="E1440" s="3" t="n"/>
      <c r="F1440" s="3" t="n"/>
      <c r="G1440" s="3" t="n"/>
      <c r="H1440" s="4" t="n"/>
      <c r="L1440" s="2" t="n"/>
      <c r="N1440" s="2" t="n"/>
    </row>
    <row r="1441">
      <c r="D1441" s="2" t="n"/>
      <c r="E1441" s="3" t="n"/>
      <c r="F1441" s="3" t="n"/>
      <c r="G1441" s="3" t="n"/>
      <c r="H1441" s="4" t="n"/>
      <c r="L1441" s="2" t="n"/>
      <c r="N1441" s="2" t="n"/>
    </row>
    <row r="1442">
      <c r="D1442" s="2" t="n"/>
      <c r="E1442" s="3" t="n"/>
      <c r="F1442" s="3" t="n"/>
      <c r="G1442" s="3" t="n"/>
      <c r="H1442" s="4" t="n"/>
      <c r="L1442" s="2" t="n"/>
      <c r="N1442" s="2" t="n"/>
    </row>
    <row r="1443">
      <c r="D1443" s="2" t="n"/>
      <c r="E1443" s="3" t="n"/>
      <c r="F1443" s="3" t="n"/>
      <c r="G1443" s="3" t="n"/>
      <c r="H1443" s="4" t="n"/>
      <c r="L1443" s="2" t="n"/>
      <c r="N1443" s="2" t="n"/>
    </row>
    <row r="1444">
      <c r="D1444" s="2" t="n"/>
      <c r="E1444" s="3" t="n"/>
      <c r="F1444" s="3" t="n"/>
      <c r="G1444" s="3" t="n"/>
      <c r="H1444" s="4" t="n"/>
      <c r="L1444" s="2" t="n"/>
      <c r="N1444" s="2" t="n"/>
    </row>
    <row r="1445">
      <c r="D1445" s="2" t="n"/>
      <c r="E1445" s="3" t="n"/>
      <c r="F1445" s="3" t="n"/>
      <c r="G1445" s="3" t="n"/>
      <c r="H1445" s="4" t="n"/>
      <c r="L1445" s="2" t="n"/>
      <c r="N1445" s="2" t="n"/>
    </row>
    <row r="1446">
      <c r="D1446" s="2" t="n"/>
      <c r="E1446" s="3" t="n"/>
      <c r="F1446" s="3" t="n"/>
      <c r="G1446" s="3" t="n"/>
      <c r="H1446" s="4" t="n"/>
      <c r="L1446" s="2" t="n"/>
      <c r="N1446" s="2" t="n"/>
    </row>
    <row r="1447">
      <c r="D1447" s="2" t="n"/>
      <c r="E1447" s="3" t="n"/>
      <c r="F1447" s="3" t="n"/>
      <c r="G1447" s="3" t="n"/>
      <c r="H1447" s="4" t="n"/>
      <c r="L1447" s="2" t="n"/>
      <c r="N1447" s="2" t="n"/>
    </row>
    <row r="1448">
      <c r="D1448" s="2" t="n"/>
      <c r="E1448" s="3" t="n"/>
      <c r="F1448" s="3" t="n"/>
      <c r="G1448" s="3" t="n"/>
      <c r="H1448" s="4" t="n"/>
      <c r="L1448" s="2" t="n"/>
      <c r="N1448" s="2" t="n"/>
    </row>
    <row r="1449">
      <c r="D1449" s="2" t="n"/>
      <c r="E1449" s="3" t="n"/>
      <c r="F1449" s="3" t="n"/>
      <c r="G1449" s="3" t="n"/>
      <c r="H1449" s="4" t="n"/>
      <c r="L1449" s="2" t="n"/>
      <c r="N1449" s="2" t="n"/>
    </row>
    <row r="1450">
      <c r="D1450" s="2" t="n"/>
      <c r="E1450" s="3" t="n"/>
      <c r="F1450" s="3" t="n"/>
      <c r="G1450" s="3" t="n"/>
      <c r="H1450" s="4" t="n"/>
      <c r="L1450" s="2" t="n"/>
      <c r="N1450" s="2" t="n"/>
    </row>
    <row r="1451">
      <c r="D1451" s="2" t="n"/>
      <c r="E1451" s="3" t="n"/>
      <c r="F1451" s="3" t="n"/>
      <c r="G1451" s="3" t="n"/>
      <c r="H1451" s="4" t="n"/>
      <c r="L1451" s="2" t="n"/>
      <c r="N1451" s="2" t="n"/>
    </row>
    <row r="1452">
      <c r="D1452" s="2" t="n"/>
      <c r="E1452" s="3" t="n"/>
      <c r="F1452" s="3" t="n"/>
      <c r="G1452" s="3" t="n"/>
      <c r="H1452" s="4" t="n"/>
      <c r="L1452" s="2" t="n"/>
      <c r="N1452" s="2" t="n"/>
    </row>
    <row r="1453">
      <c r="D1453" s="2" t="n"/>
      <c r="E1453" s="3" t="n"/>
      <c r="F1453" s="3" t="n"/>
      <c r="G1453" s="3" t="n"/>
      <c r="H1453" s="4" t="n"/>
      <c r="L1453" s="2" t="n"/>
      <c r="N1453" s="2" t="n"/>
    </row>
    <row r="1454">
      <c r="D1454" s="2" t="n"/>
      <c r="E1454" s="3" t="n"/>
      <c r="F1454" s="3" t="n"/>
      <c r="G1454" s="3" t="n"/>
      <c r="H1454" s="4" t="n"/>
      <c r="L1454" s="2" t="n"/>
      <c r="N1454" s="2" t="n"/>
    </row>
    <row r="1455">
      <c r="D1455" s="2" t="n"/>
      <c r="E1455" s="3" t="n"/>
      <c r="F1455" s="3" t="n"/>
      <c r="G1455" s="3" t="n"/>
      <c r="H1455" s="4" t="n"/>
      <c r="L1455" s="2" t="n"/>
      <c r="N1455" s="2" t="n"/>
    </row>
    <row r="1456">
      <c r="D1456" s="2" t="n"/>
      <c r="E1456" s="3" t="n"/>
      <c r="F1456" s="3" t="n"/>
      <c r="G1456" s="3" t="n"/>
      <c r="H1456" s="4" t="n"/>
      <c r="L1456" s="2" t="n"/>
      <c r="N1456" s="2" t="n"/>
    </row>
    <row r="1457">
      <c r="D1457" s="2" t="n"/>
      <c r="E1457" s="3" t="n"/>
      <c r="F1457" s="3" t="n"/>
      <c r="G1457" s="3" t="n"/>
      <c r="H1457" s="4" t="n"/>
      <c r="L1457" s="2" t="n"/>
      <c r="N1457" s="2" t="n"/>
    </row>
    <row r="1458">
      <c r="D1458" s="2" t="n"/>
      <c r="E1458" s="3" t="n"/>
      <c r="F1458" s="3" t="n"/>
      <c r="G1458" s="3" t="n"/>
      <c r="H1458" s="4" t="n"/>
      <c r="L1458" s="2" t="n"/>
      <c r="N1458" s="2" t="n"/>
    </row>
    <row r="1459">
      <c r="D1459" s="2" t="n"/>
      <c r="E1459" s="3" t="n"/>
      <c r="F1459" s="3" t="n"/>
      <c r="G1459" s="3" t="n"/>
      <c r="H1459" s="4" t="n"/>
      <c r="L1459" s="2" t="n"/>
      <c r="N1459" s="2" t="n"/>
    </row>
    <row r="1460">
      <c r="D1460" s="2" t="n"/>
      <c r="E1460" s="3" t="n"/>
      <c r="F1460" s="3" t="n"/>
      <c r="G1460" s="3" t="n"/>
      <c r="H1460" s="4" t="n"/>
      <c r="L1460" s="2" t="n"/>
      <c r="N1460" s="2" t="n"/>
    </row>
    <row r="1461">
      <c r="D1461" s="2" t="n"/>
      <c r="E1461" s="3" t="n"/>
      <c r="F1461" s="3" t="n"/>
      <c r="G1461" s="3" t="n"/>
      <c r="H1461" s="4" t="n"/>
      <c r="L1461" s="2" t="n"/>
      <c r="N1461" s="2" t="n"/>
    </row>
    <row r="1462">
      <c r="D1462" s="2" t="n"/>
      <c r="E1462" s="3" t="n"/>
      <c r="F1462" s="3" t="n"/>
      <c r="G1462" s="3" t="n"/>
      <c r="H1462" s="4" t="n"/>
      <c r="L1462" s="2" t="n"/>
      <c r="N1462" s="2" t="n"/>
    </row>
    <row r="1463">
      <c r="D1463" s="2" t="n"/>
      <c r="E1463" s="3" t="n"/>
      <c r="F1463" s="3" t="n"/>
      <c r="G1463" s="3" t="n"/>
      <c r="H1463" s="4" t="n"/>
      <c r="L1463" s="2" t="n"/>
      <c r="N1463" s="2" t="n"/>
    </row>
    <row r="1464">
      <c r="D1464" s="2" t="n"/>
      <c r="E1464" s="3" t="n"/>
      <c r="F1464" s="3" t="n"/>
      <c r="G1464" s="3" t="n"/>
      <c r="H1464" s="4" t="n"/>
      <c r="L1464" s="2" t="n"/>
      <c r="N1464" s="2" t="n"/>
    </row>
    <row r="1465">
      <c r="D1465" s="2" t="n"/>
      <c r="E1465" s="3" t="n"/>
      <c r="F1465" s="3" t="n"/>
      <c r="G1465" s="3" t="n"/>
      <c r="H1465" s="4" t="n"/>
      <c r="L1465" s="2" t="n"/>
      <c r="N1465" s="2" t="n"/>
    </row>
    <row r="1466">
      <c r="D1466" s="2" t="n"/>
      <c r="E1466" s="3" t="n"/>
      <c r="F1466" s="3" t="n"/>
      <c r="G1466" s="3" t="n"/>
      <c r="H1466" s="4" t="n"/>
      <c r="L1466" s="2" t="n"/>
      <c r="N1466" s="2" t="n"/>
    </row>
    <row r="1467">
      <c r="D1467" s="2" t="n"/>
      <c r="E1467" s="3" t="n"/>
      <c r="F1467" s="3" t="n"/>
      <c r="G1467" s="3" t="n"/>
      <c r="H1467" s="4" t="n"/>
      <c r="L1467" s="2" t="n"/>
      <c r="N1467" s="2" t="n"/>
    </row>
    <row r="1468">
      <c r="D1468" s="2" t="n"/>
      <c r="E1468" s="3" t="n"/>
      <c r="F1468" s="3" t="n"/>
      <c r="G1468" s="3" t="n"/>
      <c r="H1468" s="4" t="n"/>
      <c r="L1468" s="2" t="n"/>
      <c r="N1468" s="2" t="n"/>
    </row>
    <row r="1469">
      <c r="D1469" s="2" t="n"/>
      <c r="E1469" s="3" t="n"/>
      <c r="F1469" s="3" t="n"/>
      <c r="G1469" s="3" t="n"/>
      <c r="H1469" s="4" t="n"/>
      <c r="L1469" s="2" t="n"/>
      <c r="N1469" s="2" t="n"/>
    </row>
    <row r="1470">
      <c r="D1470" s="2" t="n"/>
      <c r="E1470" s="3" t="n"/>
      <c r="F1470" s="3" t="n"/>
      <c r="G1470" s="3" t="n"/>
      <c r="H1470" s="4" t="n"/>
      <c r="L1470" s="2" t="n"/>
      <c r="N1470" s="2" t="n"/>
    </row>
    <row r="1471">
      <c r="D1471" s="2" t="n"/>
      <c r="E1471" s="3" t="n"/>
      <c r="F1471" s="3" t="n"/>
      <c r="G1471" s="3" t="n"/>
      <c r="H1471" s="4" t="n"/>
      <c r="L1471" s="2" t="n"/>
      <c r="N1471" s="2" t="n"/>
    </row>
    <row r="1472">
      <c r="D1472" s="2" t="n"/>
      <c r="E1472" s="3" t="n"/>
      <c r="F1472" s="3" t="n"/>
      <c r="G1472" s="3" t="n"/>
      <c r="H1472" s="4" t="n"/>
      <c r="L1472" s="2" t="n"/>
      <c r="N1472" s="2" t="n"/>
    </row>
    <row r="1473">
      <c r="D1473" s="2" t="n"/>
      <c r="E1473" s="3" t="n"/>
      <c r="F1473" s="3" t="n"/>
      <c r="G1473" s="3" t="n"/>
      <c r="H1473" s="4" t="n"/>
      <c r="L1473" s="2" t="n"/>
      <c r="N1473" s="2" t="n"/>
    </row>
    <row r="1474">
      <c r="D1474" s="2" t="n"/>
      <c r="E1474" s="3" t="n"/>
      <c r="F1474" s="3" t="n"/>
      <c r="G1474" s="3" t="n"/>
      <c r="H1474" s="4" t="n"/>
      <c r="L1474" s="2" t="n"/>
      <c r="N1474" s="2" t="n"/>
    </row>
    <row r="1475">
      <c r="D1475" s="2" t="n"/>
      <c r="E1475" s="3" t="n"/>
      <c r="F1475" s="3" t="n"/>
      <c r="G1475" s="3" t="n"/>
      <c r="H1475" s="4" t="n"/>
      <c r="L1475" s="2" t="n"/>
      <c r="N1475" s="2" t="n"/>
    </row>
    <row r="1476">
      <c r="D1476" s="2" t="n"/>
      <c r="E1476" s="3" t="n"/>
      <c r="F1476" s="3" t="n"/>
      <c r="G1476" s="3" t="n"/>
      <c r="H1476" s="4" t="n"/>
      <c r="L1476" s="2" t="n"/>
      <c r="N1476" s="2" t="n"/>
    </row>
    <row r="1477">
      <c r="D1477" s="2" t="n"/>
      <c r="E1477" s="3" t="n"/>
      <c r="F1477" s="3" t="n"/>
      <c r="G1477" s="3" t="n"/>
      <c r="H1477" s="4" t="n"/>
      <c r="L1477" s="2" t="n"/>
      <c r="N1477" s="2" t="n"/>
    </row>
    <row r="1478">
      <c r="D1478" s="2" t="n"/>
      <c r="E1478" s="3" t="n"/>
      <c r="F1478" s="3" t="n"/>
      <c r="G1478" s="3" t="n"/>
      <c r="H1478" s="4" t="n"/>
      <c r="L1478" s="2" t="n"/>
      <c r="N1478" s="2" t="n"/>
    </row>
    <row r="1479">
      <c r="D1479" s="2" t="n"/>
      <c r="E1479" s="3" t="n"/>
      <c r="F1479" s="3" t="n"/>
      <c r="G1479" s="3" t="n"/>
      <c r="H1479" s="4" t="n"/>
      <c r="L1479" s="2" t="n"/>
      <c r="N1479" s="2" t="n"/>
    </row>
    <row r="1480">
      <c r="D1480" s="2" t="n"/>
      <c r="E1480" s="3" t="n"/>
      <c r="F1480" s="3" t="n"/>
      <c r="G1480" s="3" t="n"/>
      <c r="H1480" s="4" t="n"/>
      <c r="L1480" s="2" t="n"/>
      <c r="N1480" s="2" t="n"/>
    </row>
    <row r="1481">
      <c r="D1481" s="2" t="n"/>
      <c r="E1481" s="3" t="n"/>
      <c r="F1481" s="3" t="n"/>
      <c r="G1481" s="3" t="n"/>
      <c r="H1481" s="4" t="n"/>
      <c r="L1481" s="2" t="n"/>
      <c r="N1481" s="2" t="n"/>
    </row>
    <row r="1482">
      <c r="D1482" s="2" t="n"/>
      <c r="E1482" s="3" t="n"/>
      <c r="F1482" s="3" t="n"/>
      <c r="G1482" s="3" t="n"/>
      <c r="H1482" s="4" t="n"/>
      <c r="L1482" s="2" t="n"/>
      <c r="N1482" s="2" t="n"/>
    </row>
    <row r="1483">
      <c r="D1483" s="2" t="n"/>
      <c r="E1483" s="3" t="n"/>
      <c r="F1483" s="3" t="n"/>
      <c r="G1483" s="3" t="n"/>
      <c r="H1483" s="4" t="n"/>
      <c r="L1483" s="2" t="n"/>
      <c r="N1483" s="2" t="n"/>
    </row>
    <row r="1484">
      <c r="D1484" s="2" t="n"/>
      <c r="E1484" s="3" t="n"/>
      <c r="F1484" s="3" t="n"/>
      <c r="G1484" s="3" t="n"/>
      <c r="H1484" s="4" t="n"/>
      <c r="L1484" s="2" t="n"/>
      <c r="N1484" s="2" t="n"/>
    </row>
    <row r="1485">
      <c r="D1485" s="2" t="n"/>
      <c r="E1485" s="3" t="n"/>
      <c r="F1485" s="3" t="n"/>
      <c r="G1485" s="3" t="n"/>
      <c r="H1485" s="4" t="n"/>
      <c r="L1485" s="2" t="n"/>
      <c r="N1485" s="2" t="n"/>
    </row>
    <row r="1486">
      <c r="D1486" s="2" t="n"/>
      <c r="E1486" s="3" t="n"/>
      <c r="F1486" s="3" t="n"/>
      <c r="G1486" s="3" t="n"/>
      <c r="H1486" s="4" t="n"/>
      <c r="L1486" s="2" t="n"/>
      <c r="N1486" s="2" t="n"/>
    </row>
    <row r="1487">
      <c r="D1487" s="2" t="n"/>
      <c r="E1487" s="3" t="n"/>
      <c r="F1487" s="3" t="n"/>
      <c r="G1487" s="3" t="n"/>
      <c r="H1487" s="4" t="n"/>
      <c r="L1487" s="2" t="n"/>
      <c r="N1487" s="2" t="n"/>
    </row>
    <row r="1488">
      <c r="D1488" s="2" t="n"/>
      <c r="E1488" s="3" t="n"/>
      <c r="F1488" s="3" t="n"/>
      <c r="G1488" s="3" t="n"/>
      <c r="H1488" s="4" t="n"/>
      <c r="L1488" s="2" t="n"/>
      <c r="N1488" s="2" t="n"/>
    </row>
    <row r="1489">
      <c r="D1489" s="2" t="n"/>
      <c r="E1489" s="3" t="n"/>
      <c r="F1489" s="3" t="n"/>
      <c r="G1489" s="3" t="n"/>
      <c r="H1489" s="4" t="n"/>
      <c r="L1489" s="2" t="n"/>
      <c r="N1489" s="2" t="n"/>
    </row>
    <row r="1490">
      <c r="D1490" s="2" t="n"/>
      <c r="E1490" s="3" t="n"/>
      <c r="F1490" s="3" t="n"/>
      <c r="G1490" s="3" t="n"/>
      <c r="H1490" s="4" t="n"/>
      <c r="L1490" s="2" t="n"/>
      <c r="N1490" s="2" t="n"/>
    </row>
    <row r="1491">
      <c r="D1491" s="2" t="n"/>
      <c r="E1491" s="3" t="n"/>
      <c r="F1491" s="3" t="n"/>
      <c r="G1491" s="3" t="n"/>
      <c r="H1491" s="4" t="n"/>
      <c r="L1491" s="2" t="n"/>
      <c r="N1491" s="2" t="n"/>
    </row>
    <row r="1492">
      <c r="D1492" s="2" t="n"/>
      <c r="E1492" s="3" t="n"/>
      <c r="F1492" s="3" t="n"/>
      <c r="G1492" s="3" t="n"/>
      <c r="H1492" s="4" t="n"/>
      <c r="L1492" s="2" t="n"/>
      <c r="N1492" s="2" t="n"/>
    </row>
    <row r="1493">
      <c r="D1493" s="2" t="n"/>
      <c r="E1493" s="3" t="n"/>
      <c r="F1493" s="3" t="n"/>
      <c r="G1493" s="3" t="n"/>
      <c r="H1493" s="4" t="n"/>
      <c r="L1493" s="2" t="n"/>
      <c r="N1493" s="2" t="n"/>
    </row>
    <row r="1494">
      <c r="D1494" s="2" t="n"/>
      <c r="E1494" s="3" t="n"/>
      <c r="F1494" s="3" t="n"/>
      <c r="G1494" s="3" t="n"/>
      <c r="H1494" s="4" t="n"/>
      <c r="L1494" s="2" t="n"/>
      <c r="N1494" s="2" t="n"/>
    </row>
    <row r="1495">
      <c r="D1495" s="2" t="n"/>
      <c r="E1495" s="3" t="n"/>
      <c r="F1495" s="3" t="n"/>
      <c r="G1495" s="3" t="n"/>
      <c r="H1495" s="4" t="n"/>
      <c r="L1495" s="2" t="n"/>
      <c r="N1495" s="2" t="n"/>
    </row>
    <row r="1496">
      <c r="D1496" s="2" t="n"/>
      <c r="E1496" s="3" t="n"/>
      <c r="F1496" s="3" t="n"/>
      <c r="G1496" s="3" t="n"/>
      <c r="H1496" s="4" t="n"/>
      <c r="L1496" s="2" t="n"/>
      <c r="N1496" s="2" t="n"/>
    </row>
    <row r="1497">
      <c r="D1497" s="2" t="n"/>
      <c r="E1497" s="3" t="n"/>
      <c r="F1497" s="3" t="n"/>
      <c r="G1497" s="3" t="n"/>
      <c r="H1497" s="4" t="n"/>
      <c r="L1497" s="2" t="n"/>
      <c r="N1497" s="2" t="n"/>
    </row>
    <row r="1498">
      <c r="D1498" s="2" t="n"/>
      <c r="E1498" s="3" t="n"/>
      <c r="F1498" s="3" t="n"/>
      <c r="G1498" s="3" t="n"/>
      <c r="H1498" s="4" t="n"/>
      <c r="L1498" s="2" t="n"/>
      <c r="N1498" s="2" t="n"/>
    </row>
    <row r="1499">
      <c r="D1499" s="2" t="n"/>
      <c r="E1499" s="3" t="n"/>
      <c r="F1499" s="3" t="n"/>
      <c r="G1499" s="3" t="n"/>
      <c r="H1499" s="4" t="n"/>
      <c r="L1499" s="2" t="n"/>
      <c r="N1499" s="2" t="n"/>
    </row>
    <row r="1500">
      <c r="D1500" s="2" t="n"/>
      <c r="E1500" s="3" t="n"/>
      <c r="F1500" s="3" t="n"/>
      <c r="G1500" s="3" t="n"/>
      <c r="H1500" s="4" t="n"/>
      <c r="L1500" s="2" t="n"/>
      <c r="N1500" s="2" t="n"/>
    </row>
    <row r="1501">
      <c r="D1501" s="2" t="n"/>
      <c r="E1501" s="3" t="n"/>
      <c r="F1501" s="3" t="n"/>
      <c r="G1501" s="3" t="n"/>
      <c r="H1501" s="4" t="n"/>
      <c r="L1501" s="2" t="n"/>
      <c r="N1501" s="2" t="n"/>
    </row>
    <row r="1502">
      <c r="D1502" s="2" t="n"/>
      <c r="E1502" s="3" t="n"/>
      <c r="F1502" s="3" t="n"/>
      <c r="G1502" s="3" t="n"/>
      <c r="H1502" s="4" t="n"/>
      <c r="L1502" s="2" t="n"/>
      <c r="N1502" s="2" t="n"/>
    </row>
    <row r="1503">
      <c r="D1503" s="2" t="n"/>
      <c r="E1503" s="3" t="n"/>
      <c r="F1503" s="3" t="n"/>
      <c r="G1503" s="3" t="n"/>
      <c r="H1503" s="4" t="n"/>
      <c r="L1503" s="2" t="n"/>
      <c r="N1503" s="2" t="n"/>
    </row>
    <row r="1504">
      <c r="D1504" s="2" t="n"/>
      <c r="E1504" s="3" t="n"/>
      <c r="F1504" s="3" t="n"/>
      <c r="G1504" s="3" t="n"/>
      <c r="H1504" s="4" t="n"/>
      <c r="L1504" s="2" t="n"/>
      <c r="N1504" s="2" t="n"/>
    </row>
    <row r="1505">
      <c r="D1505" s="2" t="n"/>
      <c r="E1505" s="3" t="n"/>
      <c r="F1505" s="3" t="n"/>
      <c r="G1505" s="3" t="n"/>
      <c r="H1505" s="4" t="n"/>
      <c r="L1505" s="2" t="n"/>
      <c r="N1505" s="2" t="n"/>
    </row>
    <row r="1506">
      <c r="D1506" s="2" t="n"/>
      <c r="E1506" s="3" t="n"/>
      <c r="F1506" s="3" t="n"/>
      <c r="G1506" s="3" t="n"/>
      <c r="H1506" s="4" t="n"/>
      <c r="L1506" s="2" t="n"/>
      <c r="N1506" s="2" t="n"/>
    </row>
    <row r="1507">
      <c r="D1507" s="2" t="n"/>
      <c r="E1507" s="3" t="n"/>
      <c r="F1507" s="3" t="n"/>
      <c r="G1507" s="3" t="n"/>
      <c r="H1507" s="4" t="n"/>
      <c r="L1507" s="2" t="n"/>
      <c r="N1507" s="2" t="n"/>
    </row>
    <row r="1508">
      <c r="D1508" s="2" t="n"/>
      <c r="E1508" s="3" t="n"/>
      <c r="F1508" s="3" t="n"/>
      <c r="G1508" s="3" t="n"/>
      <c r="H1508" s="4" t="n"/>
      <c r="L1508" s="2" t="n"/>
      <c r="N1508" s="2" t="n"/>
    </row>
    <row r="1509">
      <c r="D1509" s="2" t="n"/>
      <c r="E1509" s="3" t="n"/>
      <c r="F1509" s="3" t="n"/>
      <c r="G1509" s="3" t="n"/>
      <c r="H1509" s="4" t="n"/>
      <c r="L1509" s="2" t="n"/>
      <c r="N1509" s="2" t="n"/>
    </row>
    <row r="1510">
      <c r="D1510" s="2" t="n"/>
      <c r="E1510" s="3" t="n"/>
      <c r="F1510" s="3" t="n"/>
      <c r="G1510" s="3" t="n"/>
      <c r="H1510" s="4" t="n"/>
      <c r="L1510" s="2" t="n"/>
      <c r="N1510" s="2" t="n"/>
    </row>
    <row r="1511">
      <c r="D1511" s="2" t="n"/>
      <c r="E1511" s="3" t="n"/>
      <c r="F1511" s="3" t="n"/>
      <c r="G1511" s="3" t="n"/>
      <c r="H1511" s="4" t="n"/>
      <c r="L1511" s="2" t="n"/>
      <c r="N1511" s="2" t="n"/>
    </row>
    <row r="1512">
      <c r="D1512" s="2" t="n"/>
      <c r="E1512" s="3" t="n"/>
      <c r="F1512" s="3" t="n"/>
      <c r="G1512" s="3" t="n"/>
      <c r="H1512" s="4" t="n"/>
      <c r="L1512" s="2" t="n"/>
      <c r="N1512" s="2" t="n"/>
    </row>
    <row r="1513">
      <c r="D1513" s="2" t="n"/>
      <c r="E1513" s="3" t="n"/>
      <c r="F1513" s="3" t="n"/>
      <c r="G1513" s="3" t="n"/>
      <c r="H1513" s="4" t="n"/>
      <c r="L1513" s="2" t="n"/>
      <c r="N1513" s="2" t="n"/>
    </row>
    <row r="1514">
      <c r="D1514" s="2" t="n"/>
      <c r="E1514" s="3" t="n"/>
      <c r="F1514" s="3" t="n"/>
      <c r="G1514" s="3" t="n"/>
      <c r="H1514" s="4" t="n"/>
      <c r="L1514" s="2" t="n"/>
      <c r="N1514" s="2" t="n"/>
    </row>
    <row r="1515">
      <c r="D1515" s="2" t="n"/>
      <c r="E1515" s="3" t="n"/>
      <c r="F1515" s="3" t="n"/>
      <c r="G1515" s="3" t="n"/>
      <c r="H1515" s="4" t="n"/>
      <c r="L1515" s="2" t="n"/>
      <c r="N1515" s="2" t="n"/>
    </row>
    <row r="1516">
      <c r="D1516" s="2" t="n"/>
      <c r="E1516" s="3" t="n"/>
      <c r="F1516" s="3" t="n"/>
      <c r="G1516" s="3" t="n"/>
      <c r="H1516" s="4" t="n"/>
      <c r="L1516" s="2" t="n"/>
      <c r="N1516" s="2" t="n"/>
    </row>
    <row r="1517">
      <c r="D1517" s="2" t="n"/>
      <c r="E1517" s="3" t="n"/>
      <c r="F1517" s="3" t="n"/>
      <c r="G1517" s="3" t="n"/>
      <c r="H1517" s="4" t="n"/>
      <c r="L1517" s="2" t="n"/>
      <c r="N1517" s="2" t="n"/>
    </row>
    <row r="1518">
      <c r="D1518" s="2" t="n"/>
      <c r="E1518" s="3" t="n"/>
      <c r="F1518" s="3" t="n"/>
      <c r="G1518" s="3" t="n"/>
      <c r="H1518" s="4" t="n"/>
      <c r="L1518" s="2" t="n"/>
      <c r="N1518" s="2" t="n"/>
    </row>
    <row r="1519">
      <c r="D1519" s="2" t="n"/>
      <c r="E1519" s="3" t="n"/>
      <c r="F1519" s="3" t="n"/>
      <c r="G1519" s="3" t="n"/>
      <c r="H1519" s="4" t="n"/>
      <c r="L1519" s="2" t="n"/>
      <c r="N1519" s="2" t="n"/>
    </row>
    <row r="1520">
      <c r="D1520" s="2" t="n"/>
      <c r="E1520" s="3" t="n"/>
      <c r="F1520" s="3" t="n"/>
      <c r="G1520" s="3" t="n"/>
      <c r="H1520" s="4" t="n"/>
      <c r="L1520" s="2" t="n"/>
      <c r="N1520" s="2" t="n"/>
    </row>
    <row r="1521">
      <c r="D1521" s="2" t="n"/>
      <c r="E1521" s="3" t="n"/>
      <c r="F1521" s="3" t="n"/>
      <c r="G1521" s="3" t="n"/>
      <c r="H1521" s="4" t="n"/>
      <c r="L1521" s="2" t="n"/>
      <c r="N1521" s="2" t="n"/>
    </row>
    <row r="1522">
      <c r="D1522" s="2" t="n"/>
      <c r="E1522" s="3" t="n"/>
      <c r="F1522" s="3" t="n"/>
      <c r="G1522" s="3" t="n"/>
      <c r="H1522" s="4" t="n"/>
      <c r="L1522" s="2" t="n"/>
      <c r="N1522" s="2" t="n"/>
    </row>
    <row r="1523">
      <c r="D1523" s="2" t="n"/>
      <c r="E1523" s="3" t="n"/>
      <c r="F1523" s="3" t="n"/>
      <c r="G1523" s="3" t="n"/>
      <c r="H1523" s="4" t="n"/>
      <c r="L1523" s="2" t="n"/>
      <c r="N1523" s="2" t="n"/>
    </row>
    <row r="1524">
      <c r="D1524" s="2" t="n"/>
      <c r="E1524" s="3" t="n"/>
      <c r="F1524" s="3" t="n"/>
      <c r="G1524" s="3" t="n"/>
      <c r="H1524" s="4" t="n"/>
      <c r="L1524" s="2" t="n"/>
      <c r="N1524" s="2" t="n"/>
    </row>
    <row r="1525">
      <c r="D1525" s="2" t="n"/>
      <c r="E1525" s="3" t="n"/>
      <c r="F1525" s="3" t="n"/>
      <c r="G1525" s="3" t="n"/>
      <c r="H1525" s="4" t="n"/>
      <c r="L1525" s="2" t="n"/>
      <c r="N1525" s="2" t="n"/>
    </row>
    <row r="1526">
      <c r="D1526" s="2" t="n"/>
      <c r="E1526" s="3" t="n"/>
      <c r="F1526" s="3" t="n"/>
      <c r="G1526" s="3" t="n"/>
      <c r="H1526" s="4" t="n"/>
      <c r="L1526" s="2" t="n"/>
      <c r="N1526" s="2" t="n"/>
    </row>
    <row r="1527">
      <c r="D1527" s="2" t="n"/>
      <c r="E1527" s="3" t="n"/>
      <c r="F1527" s="3" t="n"/>
      <c r="G1527" s="3" t="n"/>
      <c r="H1527" s="4" t="n"/>
      <c r="L1527" s="2" t="n"/>
      <c r="N1527" s="2" t="n"/>
    </row>
    <row r="1528">
      <c r="D1528" s="2" t="n"/>
      <c r="E1528" s="3" t="n"/>
      <c r="F1528" s="3" t="n"/>
      <c r="G1528" s="3" t="n"/>
      <c r="H1528" s="4" t="n"/>
      <c r="L1528" s="2" t="n"/>
      <c r="N1528" s="2" t="n"/>
    </row>
    <row r="1529">
      <c r="D1529" s="2" t="n"/>
      <c r="E1529" s="3" t="n"/>
      <c r="F1529" s="3" t="n"/>
      <c r="G1529" s="3" t="n"/>
      <c r="H1529" s="4" t="n"/>
      <c r="L1529" s="2" t="n"/>
      <c r="N1529" s="2" t="n"/>
    </row>
    <row r="1530">
      <c r="D1530" s="2" t="n"/>
      <c r="E1530" s="3" t="n"/>
      <c r="F1530" s="3" t="n"/>
      <c r="G1530" s="3" t="n"/>
      <c r="H1530" s="4" t="n"/>
      <c r="L1530" s="2" t="n"/>
      <c r="N1530" s="2" t="n"/>
    </row>
    <row r="1531">
      <c r="D1531" s="2" t="n"/>
      <c r="E1531" s="3" t="n"/>
      <c r="F1531" s="3" t="n"/>
      <c r="G1531" s="3" t="n"/>
      <c r="H1531" s="4" t="n"/>
      <c r="L1531" s="2" t="n"/>
      <c r="N1531" s="2" t="n"/>
    </row>
    <row r="1532">
      <c r="D1532" s="2" t="n"/>
      <c r="E1532" s="3" t="n"/>
      <c r="F1532" s="3" t="n"/>
      <c r="G1532" s="3" t="n"/>
      <c r="H1532" s="4" t="n"/>
      <c r="L1532" s="2" t="n"/>
      <c r="N1532" s="2" t="n"/>
    </row>
    <row r="1533">
      <c r="D1533" s="2" t="n"/>
      <c r="E1533" s="3" t="n"/>
      <c r="F1533" s="3" t="n"/>
      <c r="G1533" s="3" t="n"/>
      <c r="H1533" s="4" t="n"/>
      <c r="L1533" s="2" t="n"/>
      <c r="N1533" s="2" t="n"/>
    </row>
    <row r="1534">
      <c r="D1534" s="2" t="n"/>
      <c r="E1534" s="3" t="n"/>
      <c r="F1534" s="3" t="n"/>
      <c r="G1534" s="3" t="n"/>
      <c r="H1534" s="4" t="n"/>
      <c r="L1534" s="2" t="n"/>
      <c r="N1534" s="2" t="n"/>
    </row>
    <row r="1535">
      <c r="D1535" s="2" t="n"/>
      <c r="E1535" s="3" t="n"/>
      <c r="F1535" s="3" t="n"/>
      <c r="G1535" s="3" t="n"/>
      <c r="H1535" s="4" t="n"/>
      <c r="L1535" s="2" t="n"/>
      <c r="N1535" s="2" t="n"/>
    </row>
    <row r="1536">
      <c r="D1536" s="2" t="n"/>
      <c r="E1536" s="3" t="n"/>
      <c r="F1536" s="3" t="n"/>
      <c r="G1536" s="3" t="n"/>
      <c r="H1536" s="4" t="n"/>
      <c r="L1536" s="2" t="n"/>
      <c r="N1536" s="2" t="n"/>
    </row>
    <row r="1537">
      <c r="D1537" s="2" t="n"/>
      <c r="E1537" s="3" t="n"/>
      <c r="F1537" s="3" t="n"/>
      <c r="G1537" s="3" t="n"/>
      <c r="H1537" s="4" t="n"/>
      <c r="L1537" s="2" t="n"/>
      <c r="N1537" s="2" t="n"/>
    </row>
    <row r="1538">
      <c r="D1538" s="2" t="n"/>
      <c r="E1538" s="3" t="n"/>
      <c r="F1538" s="3" t="n"/>
      <c r="G1538" s="3" t="n"/>
      <c r="H1538" s="4" t="n"/>
      <c r="L1538" s="2" t="n"/>
      <c r="N1538" s="2" t="n"/>
    </row>
    <row r="1539">
      <c r="D1539" s="2" t="n"/>
      <c r="E1539" s="3" t="n"/>
      <c r="F1539" s="3" t="n"/>
      <c r="G1539" s="3" t="n"/>
      <c r="H1539" s="4" t="n"/>
      <c r="L1539" s="2" t="n"/>
      <c r="N1539" s="2" t="n"/>
    </row>
    <row r="1540">
      <c r="D1540" s="2" t="n"/>
      <c r="E1540" s="3" t="n"/>
      <c r="F1540" s="3" t="n"/>
      <c r="G1540" s="3" t="n"/>
      <c r="H1540" s="4" t="n"/>
      <c r="L1540" s="2" t="n"/>
      <c r="N1540" s="2" t="n"/>
    </row>
    <row r="1541">
      <c r="D1541" s="2" t="n"/>
      <c r="E1541" s="3" t="n"/>
      <c r="F1541" s="3" t="n"/>
      <c r="G1541" s="3" t="n"/>
      <c r="H1541" s="4" t="n"/>
      <c r="L1541" s="2" t="n"/>
      <c r="N1541" s="2" t="n"/>
    </row>
    <row r="1542">
      <c r="D1542" s="2" t="n"/>
      <c r="E1542" s="3" t="n"/>
      <c r="F1542" s="3" t="n"/>
      <c r="G1542" s="3" t="n"/>
      <c r="H1542" s="4" t="n"/>
      <c r="L1542" s="2" t="n"/>
      <c r="N1542" s="2" t="n"/>
    </row>
    <row r="1543">
      <c r="D1543" s="2" t="n"/>
      <c r="E1543" s="3" t="n"/>
      <c r="F1543" s="3" t="n"/>
      <c r="G1543" s="3" t="n"/>
      <c r="H1543" s="4" t="n"/>
      <c r="L1543" s="2" t="n"/>
      <c r="N1543" s="2" t="n"/>
    </row>
    <row r="1544">
      <c r="D1544" s="2" t="n"/>
      <c r="E1544" s="3" t="n"/>
      <c r="F1544" s="3" t="n"/>
      <c r="G1544" s="3" t="n"/>
      <c r="H1544" s="4" t="n"/>
      <c r="L1544" s="2" t="n"/>
      <c r="N1544" s="2" t="n"/>
    </row>
    <row r="1545">
      <c r="D1545" s="2" t="n"/>
      <c r="E1545" s="3" t="n"/>
      <c r="F1545" s="3" t="n"/>
      <c r="G1545" s="3" t="n"/>
      <c r="H1545" s="4" t="n"/>
      <c r="L1545" s="2" t="n"/>
      <c r="N1545" s="2" t="n"/>
    </row>
    <row r="1546">
      <c r="D1546" s="2" t="n"/>
      <c r="E1546" s="3" t="n"/>
      <c r="F1546" s="3" t="n"/>
      <c r="G1546" s="3" t="n"/>
      <c r="H1546" s="4" t="n"/>
      <c r="L1546" s="2" t="n"/>
      <c r="N1546" s="2" t="n"/>
    </row>
    <row r="1547">
      <c r="D1547" s="2" t="n"/>
      <c r="E1547" s="3" t="n"/>
      <c r="F1547" s="3" t="n"/>
      <c r="G1547" s="3" t="n"/>
      <c r="H1547" s="4" t="n"/>
      <c r="L1547" s="2" t="n"/>
      <c r="N1547" s="2" t="n"/>
    </row>
    <row r="1548">
      <c r="D1548" s="2" t="n"/>
      <c r="E1548" s="3" t="n"/>
      <c r="F1548" s="3" t="n"/>
      <c r="G1548" s="3" t="n"/>
      <c r="H1548" s="4" t="n"/>
      <c r="L1548" s="2" t="n"/>
      <c r="N1548" s="2" t="n"/>
    </row>
    <row r="1549">
      <c r="D1549" s="2" t="n"/>
      <c r="E1549" s="3" t="n"/>
      <c r="F1549" s="3" t="n"/>
      <c r="G1549" s="3" t="n"/>
      <c r="H1549" s="4" t="n"/>
      <c r="L1549" s="2" t="n"/>
      <c r="N1549" s="2" t="n"/>
    </row>
    <row r="1550">
      <c r="D1550" s="2" t="n"/>
      <c r="E1550" s="3" t="n"/>
      <c r="F1550" s="3" t="n"/>
      <c r="G1550" s="3" t="n"/>
      <c r="H1550" s="4" t="n"/>
      <c r="L1550" s="2" t="n"/>
      <c r="N1550" s="2" t="n"/>
    </row>
    <row r="1551">
      <c r="D1551" s="2" t="n"/>
      <c r="E1551" s="3" t="n"/>
      <c r="F1551" s="3" t="n"/>
      <c r="G1551" s="3" t="n"/>
      <c r="H1551" s="4" t="n"/>
      <c r="L1551" s="2" t="n"/>
      <c r="N1551" s="2" t="n"/>
    </row>
    <row r="1552">
      <c r="D1552" s="2" t="n"/>
      <c r="E1552" s="3" t="n"/>
      <c r="F1552" s="3" t="n"/>
      <c r="G1552" s="3" t="n"/>
      <c r="H1552" s="4" t="n"/>
      <c r="L1552" s="2" t="n"/>
      <c r="N1552" s="2" t="n"/>
    </row>
    <row r="1553">
      <c r="D1553" s="2" t="n"/>
      <c r="E1553" s="3" t="n"/>
      <c r="F1553" s="3" t="n"/>
      <c r="G1553" s="3" t="n"/>
      <c r="H1553" s="4" t="n"/>
      <c r="L1553" s="2" t="n"/>
      <c r="N1553" s="2" t="n"/>
    </row>
    <row r="1554">
      <c r="D1554" s="2" t="n"/>
      <c r="E1554" s="3" t="n"/>
      <c r="F1554" s="3" t="n"/>
      <c r="G1554" s="3" t="n"/>
      <c r="H1554" s="4" t="n"/>
      <c r="L1554" s="2" t="n"/>
      <c r="N1554" s="2" t="n"/>
    </row>
    <row r="1555">
      <c r="D1555" s="2" t="n"/>
      <c r="E1555" s="3" t="n"/>
      <c r="F1555" s="3" t="n"/>
      <c r="G1555" s="3" t="n"/>
      <c r="H1555" s="4" t="n"/>
      <c r="L1555" s="2" t="n"/>
      <c r="N1555" s="2" t="n"/>
    </row>
    <row r="1556">
      <c r="D1556" s="2" t="n"/>
      <c r="E1556" s="3" t="n"/>
      <c r="F1556" s="3" t="n"/>
      <c r="G1556" s="3" t="n"/>
      <c r="H1556" s="4" t="n"/>
      <c r="L1556" s="2" t="n"/>
      <c r="N1556" s="2" t="n"/>
    </row>
    <row r="1557">
      <c r="D1557" s="2" t="n"/>
      <c r="E1557" s="3" t="n"/>
      <c r="F1557" s="3" t="n"/>
      <c r="G1557" s="3" t="n"/>
      <c r="H1557" s="4" t="n"/>
      <c r="L1557" s="2" t="n"/>
      <c r="N1557" s="2" t="n"/>
    </row>
    <row r="1558">
      <c r="D1558" s="2" t="n"/>
      <c r="E1558" s="3" t="n"/>
      <c r="F1558" s="3" t="n"/>
      <c r="G1558" s="3" t="n"/>
      <c r="H1558" s="4" t="n"/>
      <c r="L1558" s="2" t="n"/>
      <c r="N1558" s="2" t="n"/>
    </row>
    <row r="1559">
      <c r="D1559" s="2" t="n"/>
      <c r="E1559" s="3" t="n"/>
      <c r="F1559" s="3" t="n"/>
      <c r="G1559" s="3" t="n"/>
      <c r="H1559" s="4" t="n"/>
      <c r="L1559" s="2" t="n"/>
      <c r="N1559" s="2" t="n"/>
    </row>
    <row r="1560">
      <c r="D1560" s="2" t="n"/>
      <c r="E1560" s="3" t="n"/>
      <c r="F1560" s="3" t="n"/>
      <c r="G1560" s="3" t="n"/>
      <c r="H1560" s="4" t="n"/>
      <c r="L1560" s="2" t="n"/>
      <c r="N1560" s="2" t="n"/>
    </row>
    <row r="1561">
      <c r="D1561" s="2" t="n"/>
      <c r="E1561" s="3" t="n"/>
      <c r="F1561" s="3" t="n"/>
      <c r="G1561" s="3" t="n"/>
      <c r="H1561" s="4" t="n"/>
      <c r="L1561" s="2" t="n"/>
      <c r="N1561" s="2" t="n"/>
    </row>
    <row r="1562">
      <c r="D1562" s="2" t="n"/>
      <c r="E1562" s="3" t="n"/>
      <c r="F1562" s="3" t="n"/>
      <c r="G1562" s="3" t="n"/>
      <c r="H1562" s="4" t="n"/>
      <c r="L1562" s="2" t="n"/>
      <c r="N1562" s="2" t="n"/>
    </row>
    <row r="1563">
      <c r="D1563" s="2" t="n"/>
      <c r="E1563" s="3" t="n"/>
      <c r="F1563" s="3" t="n"/>
      <c r="G1563" s="3" t="n"/>
      <c r="H1563" s="4" t="n"/>
      <c r="L1563" s="2" t="n"/>
      <c r="N1563" s="2" t="n"/>
    </row>
    <row r="1564">
      <c r="D1564" s="2" t="n"/>
      <c r="E1564" s="3" t="n"/>
      <c r="F1564" s="3" t="n"/>
      <c r="G1564" s="3" t="n"/>
      <c r="H1564" s="4" t="n"/>
      <c r="L1564" s="2" t="n"/>
      <c r="N1564" s="2" t="n"/>
    </row>
    <row r="1565">
      <c r="D1565" s="2" t="n"/>
      <c r="E1565" s="3" t="n"/>
      <c r="F1565" s="3" t="n"/>
      <c r="G1565" s="3" t="n"/>
      <c r="H1565" s="4" t="n"/>
      <c r="L1565" s="2" t="n"/>
      <c r="N1565" s="2" t="n"/>
    </row>
    <row r="1566">
      <c r="D1566" s="2" t="n"/>
      <c r="E1566" s="3" t="n"/>
      <c r="F1566" s="3" t="n"/>
      <c r="G1566" s="3" t="n"/>
      <c r="H1566" s="4" t="n"/>
      <c r="L1566" s="2" t="n"/>
      <c r="N1566" s="2" t="n"/>
    </row>
    <row r="1567">
      <c r="D1567" s="2" t="n"/>
      <c r="E1567" s="3" t="n"/>
      <c r="F1567" s="3" t="n"/>
      <c r="G1567" s="3" t="n"/>
      <c r="H1567" s="4" t="n"/>
      <c r="L1567" s="2" t="n"/>
      <c r="N1567" s="2" t="n"/>
    </row>
    <row r="1568">
      <c r="D1568" s="2" t="n"/>
      <c r="E1568" s="3" t="n"/>
      <c r="F1568" s="3" t="n"/>
      <c r="G1568" s="3" t="n"/>
      <c r="H1568" s="4" t="n"/>
      <c r="L1568" s="2" t="n"/>
      <c r="N1568" s="2" t="n"/>
    </row>
    <row r="1569">
      <c r="D1569" s="2" t="n"/>
      <c r="E1569" s="3" t="n"/>
      <c r="F1569" s="3" t="n"/>
      <c r="G1569" s="3" t="n"/>
      <c r="H1569" s="4" t="n"/>
      <c r="L1569" s="2" t="n"/>
      <c r="N1569" s="2" t="n"/>
    </row>
    <row r="1570">
      <c r="D1570" s="2" t="n"/>
      <c r="E1570" s="3" t="n"/>
      <c r="F1570" s="3" t="n"/>
      <c r="G1570" s="3" t="n"/>
      <c r="H1570" s="4" t="n"/>
      <c r="L1570" s="2" t="n"/>
      <c r="N1570" s="2" t="n"/>
    </row>
    <row r="1571">
      <c r="D1571" s="2" t="n"/>
      <c r="E1571" s="3" t="n"/>
      <c r="F1571" s="3" t="n"/>
      <c r="G1571" s="3" t="n"/>
      <c r="H1571" s="4" t="n"/>
      <c r="L1571" s="2" t="n"/>
      <c r="N1571" s="2" t="n"/>
    </row>
    <row r="1572">
      <c r="D1572" s="2" t="n"/>
      <c r="E1572" s="3" t="n"/>
      <c r="F1572" s="3" t="n"/>
      <c r="G1572" s="3" t="n"/>
      <c r="H1572" s="4" t="n"/>
      <c r="L1572" s="2" t="n"/>
      <c r="N1572" s="2" t="n"/>
    </row>
    <row r="1573">
      <c r="D1573" s="2" t="n"/>
      <c r="E1573" s="3" t="n"/>
      <c r="F1573" s="3" t="n"/>
      <c r="G1573" s="3" t="n"/>
      <c r="H1573" s="4" t="n"/>
      <c r="L1573" s="2" t="n"/>
      <c r="N1573" s="2" t="n"/>
    </row>
    <row r="1574">
      <c r="D1574" s="2" t="n"/>
      <c r="E1574" s="3" t="n"/>
      <c r="F1574" s="3" t="n"/>
      <c r="G1574" s="3" t="n"/>
      <c r="H1574" s="4" t="n"/>
      <c r="L1574" s="2" t="n"/>
      <c r="N1574" s="2" t="n"/>
    </row>
    <row r="1575">
      <c r="D1575" s="2" t="n"/>
      <c r="E1575" s="3" t="n"/>
      <c r="F1575" s="3" t="n"/>
      <c r="G1575" s="3" t="n"/>
      <c r="H1575" s="4" t="n"/>
      <c r="L1575" s="2" t="n"/>
      <c r="N1575" s="2" t="n"/>
    </row>
    <row r="1576">
      <c r="D1576" s="2" t="n"/>
      <c r="E1576" s="3" t="n"/>
      <c r="F1576" s="3" t="n"/>
      <c r="G1576" s="3" t="n"/>
      <c r="H1576" s="4" t="n"/>
      <c r="L1576" s="2" t="n"/>
      <c r="N1576" s="2" t="n"/>
    </row>
    <row r="1577">
      <c r="D1577" s="2" t="n"/>
      <c r="E1577" s="3" t="n"/>
      <c r="F1577" s="3" t="n"/>
      <c r="G1577" s="3" t="n"/>
      <c r="H1577" s="4" t="n"/>
      <c r="L1577" s="2" t="n"/>
      <c r="N1577" s="2" t="n"/>
    </row>
    <row r="1578">
      <c r="D1578" s="2" t="n"/>
      <c r="E1578" s="3" t="n"/>
      <c r="F1578" s="3" t="n"/>
      <c r="G1578" s="3" t="n"/>
      <c r="H1578" s="4" t="n"/>
      <c r="L1578" s="2" t="n"/>
      <c r="N1578" s="2" t="n"/>
    </row>
    <row r="1579">
      <c r="D1579" s="2" t="n"/>
      <c r="E1579" s="3" t="n"/>
      <c r="F1579" s="3" t="n"/>
      <c r="G1579" s="3" t="n"/>
      <c r="H1579" s="4" t="n"/>
      <c r="L1579" s="2" t="n"/>
      <c r="N1579" s="2" t="n"/>
    </row>
    <row r="1580">
      <c r="D1580" s="2" t="n"/>
      <c r="E1580" s="3" t="n"/>
      <c r="F1580" s="3" t="n"/>
      <c r="G1580" s="3" t="n"/>
      <c r="H1580" s="4" t="n"/>
      <c r="L1580" s="2" t="n"/>
      <c r="N1580" s="2" t="n"/>
    </row>
    <row r="1581">
      <c r="D1581" s="2" t="n"/>
      <c r="E1581" s="3" t="n"/>
      <c r="F1581" s="3" t="n"/>
      <c r="G1581" s="3" t="n"/>
      <c r="H1581" s="4" t="n"/>
      <c r="L1581" s="2" t="n"/>
      <c r="N1581" s="2" t="n"/>
    </row>
    <row r="1582">
      <c r="D1582" s="2" t="n"/>
      <c r="E1582" s="3" t="n"/>
      <c r="F1582" s="3" t="n"/>
      <c r="G1582" s="3" t="n"/>
      <c r="H1582" s="4" t="n"/>
      <c r="L1582" s="2" t="n"/>
      <c r="N1582" s="2" t="n"/>
    </row>
    <row r="1583">
      <c r="D1583" s="2" t="n"/>
      <c r="E1583" s="3" t="n"/>
      <c r="F1583" s="3" t="n"/>
      <c r="G1583" s="3" t="n"/>
      <c r="H1583" s="4" t="n"/>
      <c r="L1583" s="2" t="n"/>
      <c r="N1583" s="2" t="n"/>
    </row>
    <row r="1584">
      <c r="D1584" s="2" t="n"/>
      <c r="E1584" s="3" t="n"/>
      <c r="F1584" s="3" t="n"/>
      <c r="G1584" s="3" t="n"/>
      <c r="H1584" s="4" t="n"/>
      <c r="L1584" s="2" t="n"/>
      <c r="N1584" s="2" t="n"/>
    </row>
    <row r="1585">
      <c r="D1585" s="2" t="n"/>
      <c r="E1585" s="3" t="n"/>
      <c r="F1585" s="3" t="n"/>
      <c r="G1585" s="3" t="n"/>
      <c r="H1585" s="4" t="n"/>
      <c r="L1585" s="2" t="n"/>
      <c r="N1585" s="2" t="n"/>
    </row>
    <row r="1586">
      <c r="D1586" s="2" t="n"/>
      <c r="E1586" s="3" t="n"/>
      <c r="F1586" s="3" t="n"/>
      <c r="G1586" s="3" t="n"/>
      <c r="H1586" s="4" t="n"/>
      <c r="L1586" s="2" t="n"/>
      <c r="N1586" s="2" t="n"/>
    </row>
    <row r="1587">
      <c r="D1587" s="2" t="n"/>
      <c r="E1587" s="3" t="n"/>
      <c r="F1587" s="3" t="n"/>
      <c r="G1587" s="3" t="n"/>
      <c r="H1587" s="4" t="n"/>
      <c r="L1587" s="2" t="n"/>
      <c r="N1587" s="2" t="n"/>
    </row>
    <row r="1588">
      <c r="D1588" s="2" t="n"/>
      <c r="E1588" s="3" t="n"/>
      <c r="F1588" s="3" t="n"/>
      <c r="G1588" s="3" t="n"/>
      <c r="H1588" s="4" t="n"/>
      <c r="L1588" s="2" t="n"/>
      <c r="N1588" s="2" t="n"/>
    </row>
    <row r="1589">
      <c r="D1589" s="2" t="n"/>
      <c r="E1589" s="3" t="n"/>
      <c r="F1589" s="3" t="n"/>
      <c r="G1589" s="3" t="n"/>
      <c r="H1589" s="4" t="n"/>
      <c r="L1589" s="2" t="n"/>
      <c r="N1589" s="2" t="n"/>
    </row>
    <row r="1590">
      <c r="D1590" s="2" t="n"/>
      <c r="E1590" s="3" t="n"/>
      <c r="F1590" s="3" t="n"/>
      <c r="G1590" s="3" t="n"/>
      <c r="H1590" s="4" t="n"/>
      <c r="L1590" s="2" t="n"/>
      <c r="N1590" s="2" t="n"/>
    </row>
    <row r="1591">
      <c r="D1591" s="2" t="n"/>
      <c r="E1591" s="3" t="n"/>
      <c r="F1591" s="3" t="n"/>
      <c r="G1591" s="3" t="n"/>
      <c r="H1591" s="4" t="n"/>
      <c r="L1591" s="2" t="n"/>
      <c r="N1591" s="2" t="n"/>
    </row>
    <row r="1592">
      <c r="D1592" s="2" t="n"/>
      <c r="E1592" s="3" t="n"/>
      <c r="F1592" s="3" t="n"/>
      <c r="G1592" s="3" t="n"/>
      <c r="H1592" s="4" t="n"/>
      <c r="L1592" s="2" t="n"/>
      <c r="N1592" s="2" t="n"/>
    </row>
    <row r="1593">
      <c r="D1593" s="2" t="n"/>
      <c r="E1593" s="3" t="n"/>
      <c r="F1593" s="3" t="n"/>
      <c r="G1593" s="3" t="n"/>
      <c r="H1593" s="4" t="n"/>
      <c r="L1593" s="2" t="n"/>
      <c r="N1593" s="2" t="n"/>
    </row>
    <row r="1594">
      <c r="D1594" s="2" t="n"/>
      <c r="E1594" s="3" t="n"/>
      <c r="F1594" s="3" t="n"/>
      <c r="G1594" s="3" t="n"/>
      <c r="H1594" s="4" t="n"/>
      <c r="L1594" s="2" t="n"/>
      <c r="N1594" s="2" t="n"/>
    </row>
    <row r="1595">
      <c r="D1595" s="2" t="n"/>
      <c r="E1595" s="3" t="n"/>
      <c r="F1595" s="3" t="n"/>
      <c r="G1595" s="3" t="n"/>
      <c r="H1595" s="4" t="n"/>
      <c r="L1595" s="2" t="n"/>
      <c r="N1595" s="2" t="n"/>
    </row>
    <row r="1596">
      <c r="D1596" s="2" t="n"/>
      <c r="E1596" s="3" t="n"/>
      <c r="F1596" s="3" t="n"/>
      <c r="G1596" s="3" t="n"/>
      <c r="H1596" s="4" t="n"/>
      <c r="L1596" s="2" t="n"/>
      <c r="N1596" s="2" t="n"/>
    </row>
    <row r="1597">
      <c r="D1597" s="2" t="n"/>
      <c r="E1597" s="3" t="n"/>
      <c r="F1597" s="3" t="n"/>
      <c r="G1597" s="3" t="n"/>
      <c r="H1597" s="4" t="n"/>
      <c r="L1597" s="2" t="n"/>
      <c r="N1597" s="2" t="n"/>
    </row>
    <row r="1598">
      <c r="D1598" s="2" t="n"/>
      <c r="E1598" s="3" t="n"/>
      <c r="F1598" s="3" t="n"/>
      <c r="G1598" s="3" t="n"/>
      <c r="H1598" s="4" t="n"/>
      <c r="L1598" s="2" t="n"/>
      <c r="N1598" s="2" t="n"/>
    </row>
    <row r="1599">
      <c r="D1599" s="2" t="n"/>
      <c r="E1599" s="3" t="n"/>
      <c r="F1599" s="3" t="n"/>
      <c r="G1599" s="3" t="n"/>
      <c r="H1599" s="4" t="n"/>
      <c r="L1599" s="2" t="n"/>
      <c r="N1599" s="2" t="n"/>
    </row>
    <row r="1600">
      <c r="D1600" s="2" t="n"/>
      <c r="E1600" s="3" t="n"/>
      <c r="F1600" s="3" t="n"/>
      <c r="G1600" s="3" t="n"/>
      <c r="H1600" s="4" t="n"/>
      <c r="L1600" s="2" t="n"/>
      <c r="N1600" s="2" t="n"/>
    </row>
    <row r="1601">
      <c r="D1601" s="2" t="n"/>
      <c r="E1601" s="3" t="n"/>
      <c r="F1601" s="3" t="n"/>
      <c r="G1601" s="3" t="n"/>
      <c r="H1601" s="4" t="n"/>
      <c r="L1601" s="2" t="n"/>
      <c r="N1601" s="2" t="n"/>
    </row>
    <row r="1602">
      <c r="D1602" s="2" t="n"/>
      <c r="E1602" s="3" t="n"/>
      <c r="F1602" s="3" t="n"/>
      <c r="G1602" s="3" t="n"/>
      <c r="H1602" s="4" t="n"/>
      <c r="L1602" s="2" t="n"/>
      <c r="N1602" s="2" t="n"/>
    </row>
    <row r="1603">
      <c r="D1603" s="2" t="n"/>
      <c r="E1603" s="3" t="n"/>
      <c r="F1603" s="3" t="n"/>
      <c r="G1603" s="3" t="n"/>
      <c r="H1603" s="4" t="n"/>
      <c r="L1603" s="2" t="n"/>
      <c r="N1603" s="2" t="n"/>
    </row>
    <row r="1604">
      <c r="D1604" s="2" t="n"/>
      <c r="E1604" s="3" t="n"/>
      <c r="F1604" s="3" t="n"/>
      <c r="G1604" s="3" t="n"/>
      <c r="H1604" s="4" t="n"/>
      <c r="L1604" s="2" t="n"/>
      <c r="N1604" s="2" t="n"/>
    </row>
    <row r="1605">
      <c r="D1605" s="2" t="n"/>
      <c r="E1605" s="3" t="n"/>
      <c r="F1605" s="3" t="n"/>
      <c r="G1605" s="3" t="n"/>
      <c r="H1605" s="4" t="n"/>
      <c r="L1605" s="2" t="n"/>
      <c r="N1605" s="2" t="n"/>
    </row>
    <row r="1606">
      <c r="D1606" s="2" t="n"/>
      <c r="E1606" s="3" t="n"/>
      <c r="F1606" s="3" t="n"/>
      <c r="G1606" s="3" t="n"/>
      <c r="H1606" s="4" t="n"/>
      <c r="L1606" s="2" t="n"/>
      <c r="N1606" s="2" t="n"/>
    </row>
    <row r="1607">
      <c r="D1607" s="2" t="n"/>
      <c r="E1607" s="3" t="n"/>
      <c r="F1607" s="3" t="n"/>
      <c r="G1607" s="3" t="n"/>
      <c r="H1607" s="4" t="n"/>
      <c r="L1607" s="2" t="n"/>
      <c r="N1607" s="2" t="n"/>
    </row>
    <row r="1608">
      <c r="D1608" s="2" t="n"/>
      <c r="E1608" s="3" t="n"/>
      <c r="F1608" s="3" t="n"/>
      <c r="G1608" s="3" t="n"/>
      <c r="H1608" s="4" t="n"/>
      <c r="L1608" s="2" t="n"/>
      <c r="N1608" s="2" t="n"/>
    </row>
    <row r="1609">
      <c r="D1609" s="2" t="n"/>
      <c r="E1609" s="3" t="n"/>
      <c r="F1609" s="3" t="n"/>
      <c r="G1609" s="3" t="n"/>
      <c r="H1609" s="4" t="n"/>
      <c r="L1609" s="2" t="n"/>
      <c r="N1609" s="2" t="n"/>
    </row>
    <row r="1610">
      <c r="D1610" s="2" t="n"/>
      <c r="E1610" s="3" t="n"/>
      <c r="F1610" s="3" t="n"/>
      <c r="G1610" s="3" t="n"/>
      <c r="H1610" s="4" t="n"/>
      <c r="L1610" s="2" t="n"/>
      <c r="N1610" s="2" t="n"/>
    </row>
    <row r="1611">
      <c r="D1611" s="2" t="n"/>
      <c r="E1611" s="3" t="n"/>
      <c r="F1611" s="3" t="n"/>
      <c r="G1611" s="3" t="n"/>
      <c r="H1611" s="4" t="n"/>
      <c r="L1611" s="2" t="n"/>
      <c r="N1611" s="2" t="n"/>
    </row>
    <row r="1612">
      <c r="D1612" s="2" t="n"/>
      <c r="E1612" s="3" t="n"/>
      <c r="F1612" s="3" t="n"/>
      <c r="G1612" s="3" t="n"/>
      <c r="H1612" s="4" t="n"/>
      <c r="L1612" s="2" t="n"/>
      <c r="N1612" s="2" t="n"/>
    </row>
    <row r="1613">
      <c r="D1613" s="2" t="n"/>
      <c r="E1613" s="3" t="n"/>
      <c r="F1613" s="3" t="n"/>
      <c r="G1613" s="3" t="n"/>
      <c r="H1613" s="4" t="n"/>
      <c r="L1613" s="2" t="n"/>
      <c r="N1613" s="2" t="n"/>
    </row>
    <row r="1614">
      <c r="D1614" s="2" t="n"/>
      <c r="E1614" s="3" t="n"/>
      <c r="F1614" s="3" t="n"/>
      <c r="G1614" s="3" t="n"/>
      <c r="H1614" s="4" t="n"/>
      <c r="L1614" s="2" t="n"/>
      <c r="N1614" s="2" t="n"/>
    </row>
    <row r="1615">
      <c r="D1615" s="2" t="n"/>
      <c r="E1615" s="3" t="n"/>
      <c r="F1615" s="3" t="n"/>
      <c r="G1615" s="3" t="n"/>
      <c r="H1615" s="4" t="n"/>
      <c r="L1615" s="2" t="n"/>
      <c r="N1615" s="2" t="n"/>
    </row>
    <row r="1616">
      <c r="D1616" s="2" t="n"/>
      <c r="E1616" s="3" t="n"/>
      <c r="F1616" s="3" t="n"/>
      <c r="G1616" s="3" t="n"/>
      <c r="H1616" s="4" t="n"/>
      <c r="L1616" s="2" t="n"/>
      <c r="N1616" s="2" t="n"/>
    </row>
    <row r="1617">
      <c r="D1617" s="2" t="n"/>
      <c r="E1617" s="3" t="n"/>
      <c r="F1617" s="3" t="n"/>
      <c r="G1617" s="3" t="n"/>
      <c r="H1617" s="4" t="n"/>
      <c r="L1617" s="2" t="n"/>
      <c r="N1617" s="2" t="n"/>
    </row>
    <row r="1618">
      <c r="D1618" s="2" t="n"/>
      <c r="E1618" s="3" t="n"/>
      <c r="F1618" s="3" t="n"/>
      <c r="G1618" s="3" t="n"/>
      <c r="H1618" s="4" t="n"/>
      <c r="L1618" s="2" t="n"/>
      <c r="N1618" s="2" t="n"/>
    </row>
    <row r="1619">
      <c r="D1619" s="2" t="n"/>
      <c r="E1619" s="3" t="n"/>
      <c r="F1619" s="3" t="n"/>
      <c r="G1619" s="3" t="n"/>
      <c r="H1619" s="4" t="n"/>
      <c r="L1619" s="2" t="n"/>
      <c r="N1619" s="2" t="n"/>
    </row>
    <row r="1620">
      <c r="D1620" s="2" t="n"/>
      <c r="E1620" s="3" t="n"/>
      <c r="F1620" s="3" t="n"/>
      <c r="G1620" s="3" t="n"/>
      <c r="H1620" s="4" t="n"/>
      <c r="L1620" s="2" t="n"/>
      <c r="N1620" s="2" t="n"/>
    </row>
    <row r="1621">
      <c r="D1621" s="2" t="n"/>
      <c r="E1621" s="3" t="n"/>
      <c r="F1621" s="3" t="n"/>
      <c r="G1621" s="3" t="n"/>
      <c r="H1621" s="4" t="n"/>
      <c r="L1621" s="2" t="n"/>
      <c r="N1621" s="2" t="n"/>
    </row>
    <row r="1622">
      <c r="D1622" s="2" t="n"/>
      <c r="E1622" s="3" t="n"/>
      <c r="F1622" s="3" t="n"/>
      <c r="G1622" s="3" t="n"/>
      <c r="H1622" s="4" t="n"/>
      <c r="L1622" s="2" t="n"/>
      <c r="N1622" s="2" t="n"/>
    </row>
    <row r="1623">
      <c r="D1623" s="2" t="n"/>
      <c r="E1623" s="3" t="n"/>
      <c r="F1623" s="3" t="n"/>
      <c r="G1623" s="3" t="n"/>
      <c r="H1623" s="4" t="n"/>
      <c r="L1623" s="2" t="n"/>
      <c r="N1623" s="2" t="n"/>
    </row>
    <row r="1624">
      <c r="D1624" s="2" t="n"/>
      <c r="E1624" s="3" t="n"/>
      <c r="F1624" s="3" t="n"/>
      <c r="G1624" s="3" t="n"/>
      <c r="H1624" s="4" t="n"/>
      <c r="L1624" s="2" t="n"/>
      <c r="N1624" s="2" t="n"/>
    </row>
    <row r="1625">
      <c r="D1625" s="2" t="n"/>
      <c r="E1625" s="3" t="n"/>
      <c r="F1625" s="3" t="n"/>
      <c r="G1625" s="3" t="n"/>
      <c r="H1625" s="4" t="n"/>
      <c r="L1625" s="2" t="n"/>
      <c r="N1625" s="2" t="n"/>
    </row>
    <row r="1626">
      <c r="D1626" s="2" t="n"/>
      <c r="E1626" s="3" t="n"/>
      <c r="F1626" s="3" t="n"/>
      <c r="G1626" s="3" t="n"/>
      <c r="H1626" s="4" t="n"/>
      <c r="L1626" s="2" t="n"/>
      <c r="N1626" s="2" t="n"/>
    </row>
    <row r="1627">
      <c r="D1627" s="2" t="n"/>
      <c r="E1627" s="3" t="n"/>
      <c r="F1627" s="3" t="n"/>
      <c r="G1627" s="3" t="n"/>
      <c r="H1627" s="4" t="n"/>
      <c r="L1627" s="2" t="n"/>
      <c r="N1627" s="2" t="n"/>
    </row>
    <row r="1628">
      <c r="D1628" s="2" t="n"/>
      <c r="E1628" s="3" t="n"/>
      <c r="F1628" s="3" t="n"/>
      <c r="G1628" s="3" t="n"/>
      <c r="H1628" s="4" t="n"/>
      <c r="L1628" s="2" t="n"/>
      <c r="N1628" s="2" t="n"/>
    </row>
    <row r="1629">
      <c r="D1629" s="2" t="n"/>
      <c r="E1629" s="3" t="n"/>
      <c r="F1629" s="3" t="n"/>
      <c r="G1629" s="3" t="n"/>
      <c r="H1629" s="4" t="n"/>
      <c r="L1629" s="2" t="n"/>
      <c r="N1629" s="2" t="n"/>
    </row>
    <row r="1630">
      <c r="D1630" s="2" t="n"/>
      <c r="E1630" s="3" t="n"/>
      <c r="F1630" s="3" t="n"/>
      <c r="G1630" s="3" t="n"/>
      <c r="H1630" s="4" t="n"/>
      <c r="L1630" s="2" t="n"/>
      <c r="N1630" s="2" t="n"/>
    </row>
    <row r="1631">
      <c r="D1631" s="2" t="n"/>
      <c r="E1631" s="3" t="n"/>
      <c r="F1631" s="3" t="n"/>
      <c r="G1631" s="3" t="n"/>
      <c r="H1631" s="4" t="n"/>
      <c r="L1631" s="2" t="n"/>
      <c r="N1631" s="2" t="n"/>
    </row>
    <row r="1632">
      <c r="D1632" s="2" t="n"/>
      <c r="E1632" s="3" t="n"/>
      <c r="F1632" s="3" t="n"/>
      <c r="G1632" s="3" t="n"/>
      <c r="H1632" s="4" t="n"/>
      <c r="L1632" s="2" t="n"/>
      <c r="N1632" s="2" t="n"/>
    </row>
    <row r="1633">
      <c r="D1633" s="2" t="n"/>
      <c r="E1633" s="3" t="n"/>
      <c r="F1633" s="3" t="n"/>
      <c r="G1633" s="3" t="n"/>
      <c r="H1633" s="4" t="n"/>
      <c r="L1633" s="2" t="n"/>
      <c r="N1633" s="2" t="n"/>
    </row>
    <row r="1634">
      <c r="D1634" s="2" t="n"/>
      <c r="E1634" s="3" t="n"/>
      <c r="F1634" s="3" t="n"/>
      <c r="G1634" s="3" t="n"/>
      <c r="H1634" s="4" t="n"/>
      <c r="L1634" s="2" t="n"/>
      <c r="N1634" s="2" t="n"/>
    </row>
    <row r="1635">
      <c r="D1635" s="2" t="n"/>
      <c r="E1635" s="3" t="n"/>
      <c r="F1635" s="3" t="n"/>
      <c r="G1635" s="3" t="n"/>
      <c r="H1635" s="4" t="n"/>
      <c r="L1635" s="2" t="n"/>
      <c r="N1635" s="2" t="n"/>
    </row>
    <row r="1636">
      <c r="D1636" s="2" t="n"/>
      <c r="E1636" s="3" t="n"/>
      <c r="F1636" s="3" t="n"/>
      <c r="G1636" s="3" t="n"/>
      <c r="H1636" s="4" t="n"/>
      <c r="L1636" s="2" t="n"/>
      <c r="N1636" s="2" t="n"/>
    </row>
    <row r="1637">
      <c r="D1637" s="2" t="n"/>
      <c r="E1637" s="3" t="n"/>
      <c r="F1637" s="3" t="n"/>
      <c r="G1637" s="3" t="n"/>
      <c r="H1637" s="4" t="n"/>
      <c r="L1637" s="2" t="n"/>
      <c r="N1637" s="2" t="n"/>
    </row>
    <row r="1638">
      <c r="D1638" s="2" t="n"/>
      <c r="E1638" s="3" t="n"/>
      <c r="F1638" s="3" t="n"/>
      <c r="G1638" s="3" t="n"/>
      <c r="H1638" s="4" t="n"/>
      <c r="L1638" s="2" t="n"/>
      <c r="N1638" s="2" t="n"/>
    </row>
    <row r="1639">
      <c r="D1639" s="2" t="n"/>
      <c r="E1639" s="3" t="n"/>
      <c r="F1639" s="3" t="n"/>
      <c r="G1639" s="3" t="n"/>
      <c r="H1639" s="4" t="n"/>
      <c r="L1639" s="2" t="n"/>
      <c r="N1639" s="2" t="n"/>
    </row>
    <row r="1640">
      <c r="D1640" s="2" t="n"/>
      <c r="E1640" s="3" t="n"/>
      <c r="F1640" s="3" t="n"/>
      <c r="G1640" s="3" t="n"/>
      <c r="H1640" s="4" t="n"/>
      <c r="L1640" s="2" t="n"/>
      <c r="N1640" s="2" t="n"/>
    </row>
    <row r="1641">
      <c r="D1641" s="2" t="n"/>
      <c r="E1641" s="3" t="n"/>
      <c r="F1641" s="3" t="n"/>
      <c r="G1641" s="3" t="n"/>
      <c r="H1641" s="4" t="n"/>
      <c r="L1641" s="2" t="n"/>
      <c r="N1641" s="2" t="n"/>
    </row>
    <row r="1642">
      <c r="D1642" s="2" t="n"/>
      <c r="E1642" s="3" t="n"/>
      <c r="F1642" s="3" t="n"/>
      <c r="G1642" s="3" t="n"/>
      <c r="H1642" s="4" t="n"/>
      <c r="L1642" s="2" t="n"/>
      <c r="N1642" s="2" t="n"/>
    </row>
    <row r="1643">
      <c r="D1643" s="2" t="n"/>
      <c r="E1643" s="3" t="n"/>
      <c r="F1643" s="3" t="n"/>
      <c r="G1643" s="3" t="n"/>
      <c r="H1643" s="4" t="n"/>
      <c r="L1643" s="2" t="n"/>
      <c r="N1643" s="2" t="n"/>
    </row>
    <row r="1644">
      <c r="D1644" s="2" t="n"/>
      <c r="E1644" s="3" t="n"/>
      <c r="F1644" s="3" t="n"/>
      <c r="G1644" s="3" t="n"/>
      <c r="H1644" s="4" t="n"/>
      <c r="L1644" s="2" t="n"/>
      <c r="N1644" s="2" t="n"/>
    </row>
    <row r="1645">
      <c r="D1645" s="2" t="n"/>
      <c r="E1645" s="3" t="n"/>
      <c r="F1645" s="3" t="n"/>
      <c r="G1645" s="3" t="n"/>
      <c r="H1645" s="4" t="n"/>
      <c r="L1645" s="2" t="n"/>
      <c r="N1645" s="2" t="n"/>
    </row>
    <row r="1646">
      <c r="D1646" s="2" t="n"/>
      <c r="E1646" s="3" t="n"/>
      <c r="F1646" s="3" t="n"/>
      <c r="G1646" s="3" t="n"/>
      <c r="H1646" s="4" t="n"/>
      <c r="L1646" s="2" t="n"/>
      <c r="N1646" s="2" t="n"/>
    </row>
    <row r="1647">
      <c r="D1647" s="2" t="n"/>
      <c r="E1647" s="3" t="n"/>
      <c r="F1647" s="3" t="n"/>
      <c r="G1647" s="3" t="n"/>
      <c r="H1647" s="4" t="n"/>
      <c r="L1647" s="2" t="n"/>
      <c r="N1647" s="2" t="n"/>
    </row>
    <row r="1648">
      <c r="D1648" s="2" t="n"/>
      <c r="E1648" s="3" t="n"/>
      <c r="F1648" s="3" t="n"/>
      <c r="G1648" s="3" t="n"/>
      <c r="H1648" s="4" t="n"/>
      <c r="L1648" s="2" t="n"/>
      <c r="N1648" s="2" t="n"/>
    </row>
    <row r="1649">
      <c r="D1649" s="2" t="n"/>
      <c r="E1649" s="3" t="n"/>
      <c r="F1649" s="3" t="n"/>
      <c r="G1649" s="3" t="n"/>
      <c r="H1649" s="4" t="n"/>
      <c r="L1649" s="2" t="n"/>
      <c r="N1649" s="2" t="n"/>
    </row>
    <row r="1650">
      <c r="D1650" s="2" t="n"/>
      <c r="E1650" s="3" t="n"/>
      <c r="F1650" s="3" t="n"/>
      <c r="G1650" s="3" t="n"/>
      <c r="H1650" s="4" t="n"/>
      <c r="L1650" s="2" t="n"/>
      <c r="N1650" s="2" t="n"/>
    </row>
    <row r="1651">
      <c r="D1651" s="2" t="n"/>
      <c r="E1651" s="3" t="n"/>
      <c r="F1651" s="3" t="n"/>
      <c r="G1651" s="3" t="n"/>
      <c r="H1651" s="4" t="n"/>
      <c r="L1651" s="2" t="n"/>
      <c r="N1651" s="2" t="n"/>
    </row>
    <row r="1652">
      <c r="D1652" s="2" t="n"/>
      <c r="E1652" s="3" t="n"/>
      <c r="F1652" s="3" t="n"/>
      <c r="G1652" s="3" t="n"/>
      <c r="H1652" s="4" t="n"/>
      <c r="L1652" s="2" t="n"/>
      <c r="N1652" s="2" t="n"/>
    </row>
    <row r="1653">
      <c r="D1653" s="2" t="n"/>
      <c r="E1653" s="3" t="n"/>
      <c r="F1653" s="3" t="n"/>
      <c r="G1653" s="3" t="n"/>
      <c r="H1653" s="4" t="n"/>
      <c r="L1653" s="2" t="n"/>
      <c r="N1653" s="2" t="n"/>
    </row>
    <row r="1654">
      <c r="D1654" s="2" t="n"/>
      <c r="E1654" s="3" t="n"/>
      <c r="F1654" s="3" t="n"/>
      <c r="G1654" s="3" t="n"/>
      <c r="H1654" s="4" t="n"/>
      <c r="L1654" s="2" t="n"/>
      <c r="N1654" s="2" t="n"/>
    </row>
    <row r="1655">
      <c r="D1655" s="2" t="n"/>
      <c r="E1655" s="3" t="n"/>
      <c r="F1655" s="3" t="n"/>
      <c r="G1655" s="3" t="n"/>
      <c r="H1655" s="4" t="n"/>
      <c r="L1655" s="2" t="n"/>
      <c r="N1655" s="2" t="n"/>
    </row>
    <row r="1656">
      <c r="D1656" s="2" t="n"/>
      <c r="E1656" s="3" t="n"/>
      <c r="F1656" s="3" t="n"/>
      <c r="G1656" s="3" t="n"/>
      <c r="H1656" s="4" t="n"/>
      <c r="L1656" s="2" t="n"/>
      <c r="N1656" s="2" t="n"/>
    </row>
    <row r="1657">
      <c r="D1657" s="2" t="n"/>
      <c r="E1657" s="3" t="n"/>
      <c r="F1657" s="3" t="n"/>
      <c r="G1657" s="3" t="n"/>
      <c r="H1657" s="4" t="n"/>
      <c r="L1657" s="2" t="n"/>
      <c r="N1657" s="2" t="n"/>
    </row>
    <row r="1658">
      <c r="D1658" s="2" t="n"/>
      <c r="E1658" s="3" t="n"/>
      <c r="F1658" s="3" t="n"/>
      <c r="G1658" s="3" t="n"/>
      <c r="H1658" s="4" t="n"/>
      <c r="L1658" s="2" t="n"/>
      <c r="N1658" s="2" t="n"/>
    </row>
    <row r="1659">
      <c r="D1659" s="2" t="n"/>
      <c r="E1659" s="3" t="n"/>
      <c r="F1659" s="3" t="n"/>
      <c r="G1659" s="3" t="n"/>
      <c r="H1659" s="4" t="n"/>
      <c r="L1659" s="2" t="n"/>
      <c r="N1659" s="2" t="n"/>
    </row>
    <row r="1660">
      <c r="D1660" s="2" t="n"/>
      <c r="E1660" s="3" t="n"/>
      <c r="F1660" s="3" t="n"/>
      <c r="G1660" s="3" t="n"/>
      <c r="H1660" s="4" t="n"/>
      <c r="L1660" s="2" t="n"/>
      <c r="N1660" s="2" t="n"/>
    </row>
    <row r="1661">
      <c r="D1661" s="2" t="n"/>
      <c r="E1661" s="3" t="n"/>
      <c r="F1661" s="3" t="n"/>
      <c r="G1661" s="3" t="n"/>
      <c r="H1661" s="4" t="n"/>
      <c r="L1661" s="2" t="n"/>
      <c r="N1661" s="2" t="n"/>
    </row>
    <row r="1662">
      <c r="D1662" s="2" t="n"/>
      <c r="E1662" s="3" t="n"/>
      <c r="F1662" s="3" t="n"/>
      <c r="G1662" s="3" t="n"/>
      <c r="H1662" s="4" t="n"/>
      <c r="L1662" s="2" t="n"/>
      <c r="N1662" s="2" t="n"/>
    </row>
    <row r="1663">
      <c r="D1663" s="2" t="n"/>
      <c r="E1663" s="3" t="n"/>
      <c r="F1663" s="3" t="n"/>
      <c r="G1663" s="3" t="n"/>
      <c r="H1663" s="4" t="n"/>
      <c r="L1663" s="2" t="n"/>
      <c r="N1663" s="2" t="n"/>
    </row>
    <row r="1664">
      <c r="D1664" s="2" t="n"/>
      <c r="E1664" s="3" t="n"/>
      <c r="F1664" s="3" t="n"/>
      <c r="G1664" s="3" t="n"/>
      <c r="H1664" s="4" t="n"/>
      <c r="L1664" s="2" t="n"/>
      <c r="N1664" s="2" t="n"/>
    </row>
    <row r="1665">
      <c r="D1665" s="2" t="n"/>
      <c r="E1665" s="3" t="n"/>
      <c r="F1665" s="3" t="n"/>
      <c r="G1665" s="3" t="n"/>
      <c r="H1665" s="4" t="n"/>
      <c r="L1665" s="2" t="n"/>
      <c r="N1665" s="2" t="n"/>
    </row>
    <row r="1666">
      <c r="D1666" s="2" t="n"/>
      <c r="E1666" s="3" t="n"/>
      <c r="F1666" s="3" t="n"/>
      <c r="G1666" s="3" t="n"/>
      <c r="H1666" s="4" t="n"/>
      <c r="L1666" s="2" t="n"/>
      <c r="N1666" s="2" t="n"/>
    </row>
    <row r="1667">
      <c r="D1667" s="2" t="n"/>
      <c r="E1667" s="3" t="n"/>
      <c r="F1667" s="3" t="n"/>
      <c r="G1667" s="3" t="n"/>
      <c r="H1667" s="4" t="n"/>
      <c r="L1667" s="2" t="n"/>
      <c r="N1667" s="2" t="n"/>
    </row>
    <row r="1668">
      <c r="D1668" s="2" t="n"/>
      <c r="E1668" s="3" t="n"/>
      <c r="F1668" s="3" t="n"/>
      <c r="G1668" s="3" t="n"/>
      <c r="H1668" s="4" t="n"/>
      <c r="L1668" s="2" t="n"/>
      <c r="N1668" s="2" t="n"/>
    </row>
    <row r="1669">
      <c r="D1669" s="2" t="n"/>
      <c r="E1669" s="3" t="n"/>
      <c r="F1669" s="3" t="n"/>
      <c r="G1669" s="3" t="n"/>
      <c r="H1669" s="4" t="n"/>
      <c r="L1669" s="2" t="n"/>
      <c r="N1669" s="2" t="n"/>
    </row>
    <row r="1670">
      <c r="D1670" s="2" t="n"/>
      <c r="E1670" s="3" t="n"/>
      <c r="F1670" s="3" t="n"/>
      <c r="G1670" s="3" t="n"/>
      <c r="H1670" s="4" t="n"/>
      <c r="L1670" s="2" t="n"/>
      <c r="N1670" s="2" t="n"/>
    </row>
    <row r="1671">
      <c r="D1671" s="2" t="n"/>
      <c r="E1671" s="3" t="n"/>
      <c r="F1671" s="3" t="n"/>
      <c r="G1671" s="3" t="n"/>
      <c r="H1671" s="4" t="n"/>
      <c r="L1671" s="2" t="n"/>
      <c r="N1671" s="2" t="n"/>
    </row>
    <row r="1672">
      <c r="D1672" s="2" t="n"/>
      <c r="E1672" s="3" t="n"/>
      <c r="F1672" s="3" t="n"/>
      <c r="G1672" s="3" t="n"/>
      <c r="H1672" s="4" t="n"/>
      <c r="L1672" s="2" t="n"/>
      <c r="N1672" s="2" t="n"/>
    </row>
    <row r="1673">
      <c r="D1673" s="2" t="n"/>
      <c r="E1673" s="3" t="n"/>
      <c r="F1673" s="3" t="n"/>
      <c r="G1673" s="3" t="n"/>
      <c r="H1673" s="4" t="n"/>
      <c r="L1673" s="2" t="n"/>
      <c r="N1673" s="2" t="n"/>
    </row>
    <row r="1674">
      <c r="D1674" s="2" t="n"/>
      <c r="E1674" s="3" t="n"/>
      <c r="F1674" s="3" t="n"/>
      <c r="G1674" s="3" t="n"/>
      <c r="H1674" s="4" t="n"/>
      <c r="L1674" s="2" t="n"/>
      <c r="N1674" s="2" t="n"/>
    </row>
    <row r="1675">
      <c r="D1675" s="2" t="n"/>
      <c r="E1675" s="3" t="n"/>
      <c r="F1675" s="3" t="n"/>
      <c r="G1675" s="3" t="n"/>
      <c r="H1675" s="4" t="n"/>
      <c r="L1675" s="2" t="n"/>
      <c r="N1675" s="2" t="n"/>
    </row>
    <row r="1676">
      <c r="D1676" s="2" t="n"/>
      <c r="E1676" s="3" t="n"/>
      <c r="F1676" s="3" t="n"/>
      <c r="G1676" s="3" t="n"/>
      <c r="H1676" s="4" t="n"/>
      <c r="L1676" s="2" t="n"/>
      <c r="N1676" s="2" t="n"/>
    </row>
    <row r="1677">
      <c r="D1677" s="2" t="n"/>
      <c r="E1677" s="3" t="n"/>
      <c r="F1677" s="3" t="n"/>
      <c r="G1677" s="3" t="n"/>
      <c r="H1677" s="4" t="n"/>
      <c r="L1677" s="2" t="n"/>
      <c r="N1677" s="2" t="n"/>
    </row>
    <row r="1678">
      <c r="D1678" s="2" t="n"/>
      <c r="E1678" s="3" t="n"/>
      <c r="F1678" s="3" t="n"/>
      <c r="G1678" s="3" t="n"/>
      <c r="H1678" s="4" t="n"/>
      <c r="L1678" s="2" t="n"/>
      <c r="N1678" s="2" t="n"/>
    </row>
    <row r="1679">
      <c r="D1679" s="2" t="n"/>
      <c r="E1679" s="3" t="n"/>
      <c r="F1679" s="3" t="n"/>
      <c r="G1679" s="3" t="n"/>
      <c r="H1679" s="4" t="n"/>
      <c r="L1679" s="2" t="n"/>
      <c r="N1679" s="2" t="n"/>
    </row>
    <row r="1680">
      <c r="D1680" s="2" t="n"/>
      <c r="E1680" s="3" t="n"/>
      <c r="F1680" s="3" t="n"/>
      <c r="G1680" s="3" t="n"/>
      <c r="H1680" s="4" t="n"/>
      <c r="L1680" s="2" t="n"/>
      <c r="N1680" s="2" t="n"/>
    </row>
    <row r="1681">
      <c r="D1681" s="2" t="n"/>
      <c r="E1681" s="3" t="n"/>
      <c r="F1681" s="3" t="n"/>
      <c r="G1681" s="3" t="n"/>
      <c r="H1681" s="4" t="n"/>
      <c r="L1681" s="2" t="n"/>
      <c r="N1681" s="2" t="n"/>
    </row>
    <row r="1682">
      <c r="D1682" s="2" t="n"/>
      <c r="E1682" s="3" t="n"/>
      <c r="F1682" s="3" t="n"/>
      <c r="G1682" s="3" t="n"/>
      <c r="H1682" s="4" t="n"/>
      <c r="L1682" s="2" t="n"/>
      <c r="N1682" s="2" t="n"/>
    </row>
    <row r="1683">
      <c r="D1683" s="2" t="n"/>
      <c r="E1683" s="3" t="n"/>
      <c r="F1683" s="3" t="n"/>
      <c r="G1683" s="3" t="n"/>
      <c r="H1683" s="4" t="n"/>
      <c r="L1683" s="2" t="n"/>
      <c r="N1683" s="2" t="n"/>
    </row>
    <row r="1684">
      <c r="D1684" s="2" t="n"/>
      <c r="E1684" s="3" t="n"/>
      <c r="F1684" s="3" t="n"/>
      <c r="G1684" s="3" t="n"/>
      <c r="H1684" s="4" t="n"/>
      <c r="L1684" s="2" t="n"/>
      <c r="N1684" s="2" t="n"/>
    </row>
    <row r="1685">
      <c r="D1685" s="2" t="n"/>
      <c r="E1685" s="3" t="n"/>
      <c r="F1685" s="3" t="n"/>
      <c r="G1685" s="3" t="n"/>
      <c r="H1685" s="4" t="n"/>
      <c r="L1685" s="2" t="n"/>
      <c r="N1685" s="2" t="n"/>
    </row>
    <row r="1686">
      <c r="D1686" s="2" t="n"/>
      <c r="E1686" s="3" t="n"/>
      <c r="F1686" s="3" t="n"/>
      <c r="G1686" s="3" t="n"/>
      <c r="H1686" s="4" t="n"/>
      <c r="L1686" s="2" t="n"/>
      <c r="N1686" s="2" t="n"/>
    </row>
    <row r="1687">
      <c r="D1687" s="2" t="n"/>
      <c r="E1687" s="3" t="n"/>
      <c r="F1687" s="3" t="n"/>
      <c r="G1687" s="3" t="n"/>
      <c r="H1687" s="4" t="n"/>
      <c r="L1687" s="2" t="n"/>
      <c r="N1687" s="2" t="n"/>
    </row>
    <row r="1688">
      <c r="D1688" s="2" t="n"/>
      <c r="E1688" s="3" t="n"/>
      <c r="F1688" s="3" t="n"/>
      <c r="G1688" s="3" t="n"/>
      <c r="H1688" s="4" t="n"/>
      <c r="L1688" s="2" t="n"/>
      <c r="N1688" s="2" t="n"/>
    </row>
    <row r="1689">
      <c r="D1689" s="2" t="n"/>
      <c r="E1689" s="3" t="n"/>
      <c r="F1689" s="3" t="n"/>
      <c r="G1689" s="3" t="n"/>
      <c r="H1689" s="4" t="n"/>
      <c r="L1689" s="2" t="n"/>
      <c r="N1689" s="2" t="n"/>
    </row>
    <row r="1690">
      <c r="D1690" s="2" t="n"/>
      <c r="E1690" s="3" t="n"/>
      <c r="F1690" s="3" t="n"/>
      <c r="G1690" s="3" t="n"/>
      <c r="H1690" s="4" t="n"/>
      <c r="L1690" s="2" t="n"/>
      <c r="N1690" s="2" t="n"/>
    </row>
    <row r="1691">
      <c r="D1691" s="2" t="n"/>
      <c r="E1691" s="3" t="n"/>
      <c r="F1691" s="3" t="n"/>
      <c r="G1691" s="3" t="n"/>
      <c r="H1691" s="4" t="n"/>
      <c r="L1691" s="2" t="n"/>
      <c r="N1691" s="2" t="n"/>
    </row>
    <row r="1692">
      <c r="D1692" s="2" t="n"/>
      <c r="E1692" s="3" t="n"/>
      <c r="F1692" s="3" t="n"/>
      <c r="G1692" s="3" t="n"/>
      <c r="H1692" s="4" t="n"/>
      <c r="L1692" s="2" t="n"/>
      <c r="N1692" s="2" t="n"/>
    </row>
    <row r="1693">
      <c r="D1693" s="2" t="n"/>
      <c r="E1693" s="3" t="n"/>
      <c r="F1693" s="3" t="n"/>
      <c r="G1693" s="3" t="n"/>
      <c r="H1693" s="4" t="n"/>
      <c r="L1693" s="2" t="n"/>
      <c r="N1693" s="2" t="n"/>
    </row>
    <row r="1694">
      <c r="D1694" s="2" t="n"/>
      <c r="E1694" s="3" t="n"/>
      <c r="F1694" s="3" t="n"/>
      <c r="G1694" s="3" t="n"/>
      <c r="H1694" s="4" t="n"/>
      <c r="L1694" s="2" t="n"/>
      <c r="N1694" s="2" t="n"/>
    </row>
    <row r="1695">
      <c r="D1695" s="2" t="n"/>
      <c r="E1695" s="3" t="n"/>
      <c r="F1695" s="3" t="n"/>
      <c r="G1695" s="3" t="n"/>
      <c r="H1695" s="4" t="n"/>
      <c r="L1695" s="2" t="n"/>
      <c r="N1695" s="2" t="n"/>
    </row>
    <row r="1696">
      <c r="D1696" s="2" t="n"/>
      <c r="E1696" s="3" t="n"/>
      <c r="F1696" s="3" t="n"/>
      <c r="G1696" s="3" t="n"/>
      <c r="H1696" s="4" t="n"/>
      <c r="L1696" s="2" t="n"/>
      <c r="N1696" s="2" t="n"/>
    </row>
    <row r="1697">
      <c r="D1697" s="2" t="n"/>
      <c r="E1697" s="3" t="n"/>
      <c r="F1697" s="3" t="n"/>
      <c r="G1697" s="3" t="n"/>
      <c r="H1697" s="4" t="n"/>
      <c r="L1697" s="2" t="n"/>
      <c r="N1697" s="2" t="n"/>
    </row>
    <row r="1698">
      <c r="D1698" s="2" t="n"/>
      <c r="E1698" s="3" t="n"/>
      <c r="F1698" s="3" t="n"/>
      <c r="G1698" s="3" t="n"/>
      <c r="H1698" s="4" t="n"/>
      <c r="L1698" s="2" t="n"/>
      <c r="N1698" s="2" t="n"/>
    </row>
    <row r="1699">
      <c r="D1699" s="2" t="n"/>
      <c r="E1699" s="3" t="n"/>
      <c r="F1699" s="3" t="n"/>
      <c r="G1699" s="3" t="n"/>
      <c r="H1699" s="4" t="n"/>
      <c r="L1699" s="2" t="n"/>
      <c r="N1699" s="2" t="n"/>
    </row>
    <row r="1700">
      <c r="D1700" s="2" t="n"/>
      <c r="E1700" s="3" t="n"/>
      <c r="F1700" s="3" t="n"/>
      <c r="G1700" s="3" t="n"/>
      <c r="H1700" s="4" t="n"/>
      <c r="L1700" s="2" t="n"/>
      <c r="N1700" s="2" t="n"/>
    </row>
    <row r="1701">
      <c r="D1701" s="2" t="n"/>
      <c r="E1701" s="3" t="n"/>
      <c r="F1701" s="3" t="n"/>
      <c r="G1701" s="3" t="n"/>
      <c r="H1701" s="4" t="n"/>
      <c r="L1701" s="2" t="n"/>
      <c r="N1701" s="2" t="n"/>
    </row>
    <row r="1702">
      <c r="D1702" s="2" t="n"/>
      <c r="E1702" s="3" t="n"/>
      <c r="F1702" s="3" t="n"/>
      <c r="G1702" s="3" t="n"/>
      <c r="H1702" s="4" t="n"/>
      <c r="L1702" s="2" t="n"/>
      <c r="N1702" s="2" t="n"/>
    </row>
    <row r="1703">
      <c r="D1703" s="2" t="n"/>
      <c r="E1703" s="3" t="n"/>
      <c r="F1703" s="3" t="n"/>
      <c r="G1703" s="3" t="n"/>
      <c r="H1703" s="4" t="n"/>
      <c r="L1703" s="2" t="n"/>
      <c r="N1703" s="2" t="n"/>
    </row>
    <row r="1704">
      <c r="D1704" s="2" t="n"/>
      <c r="E1704" s="3" t="n"/>
      <c r="F1704" s="3" t="n"/>
      <c r="G1704" s="3" t="n"/>
      <c r="H1704" s="4" t="n"/>
      <c r="L1704" s="2" t="n"/>
      <c r="N1704" s="2" t="n"/>
    </row>
    <row r="1705">
      <c r="D1705" s="2" t="n"/>
      <c r="E1705" s="3" t="n"/>
      <c r="F1705" s="3" t="n"/>
      <c r="G1705" s="3" t="n"/>
      <c r="H1705" s="4" t="n"/>
      <c r="L1705" s="2" t="n"/>
      <c r="N1705" s="2" t="n"/>
    </row>
    <row r="1706">
      <c r="D1706" s="2" t="n"/>
      <c r="E1706" s="3" t="n"/>
      <c r="F1706" s="3" t="n"/>
      <c r="G1706" s="3" t="n"/>
      <c r="H1706" s="4" t="n"/>
      <c r="L1706" s="2" t="n"/>
      <c r="N1706" s="2" t="n"/>
    </row>
    <row r="1707">
      <c r="D1707" s="2" t="n"/>
      <c r="E1707" s="3" t="n"/>
      <c r="F1707" s="3" t="n"/>
      <c r="G1707" s="3" t="n"/>
      <c r="H1707" s="4" t="n"/>
      <c r="L1707" s="2" t="n"/>
      <c r="N1707" s="2" t="n"/>
    </row>
    <row r="1708">
      <c r="D1708" s="2" t="n"/>
      <c r="E1708" s="3" t="n"/>
      <c r="F1708" s="3" t="n"/>
      <c r="G1708" s="3" t="n"/>
      <c r="H1708" s="4" t="n"/>
      <c r="L1708" s="2" t="n"/>
      <c r="N1708" s="2" t="n"/>
    </row>
    <row r="1709">
      <c r="D1709" s="2" t="n"/>
      <c r="E1709" s="3" t="n"/>
      <c r="F1709" s="3" t="n"/>
      <c r="G1709" s="3" t="n"/>
      <c r="H1709" s="4" t="n"/>
      <c r="L1709" s="2" t="n"/>
      <c r="N1709" s="2" t="n"/>
    </row>
    <row r="1710">
      <c r="D1710" s="2" t="n"/>
      <c r="E1710" s="3" t="n"/>
      <c r="F1710" s="3" t="n"/>
      <c r="G1710" s="3" t="n"/>
      <c r="H1710" s="4" t="n"/>
      <c r="L1710" s="2" t="n"/>
      <c r="N1710" s="2" t="n"/>
    </row>
    <row r="1711">
      <c r="D1711" s="2" t="n"/>
      <c r="E1711" s="3" t="n"/>
      <c r="F1711" s="3" t="n"/>
      <c r="G1711" s="3" t="n"/>
      <c r="H1711" s="4" t="n"/>
      <c r="L1711" s="2" t="n"/>
      <c r="N1711" s="2" t="n"/>
    </row>
    <row r="1712">
      <c r="D1712" s="2" t="n"/>
      <c r="E1712" s="3" t="n"/>
      <c r="F1712" s="3" t="n"/>
      <c r="G1712" s="3" t="n"/>
      <c r="H1712" s="4" t="n"/>
      <c r="L1712" s="2" t="n"/>
      <c r="N1712" s="2" t="n"/>
    </row>
    <row r="1713">
      <c r="D1713" s="2" t="n"/>
      <c r="E1713" s="3" t="n"/>
      <c r="F1713" s="3" t="n"/>
      <c r="G1713" s="3" t="n"/>
      <c r="H1713" s="4" t="n"/>
      <c r="L1713" s="2" t="n"/>
      <c r="N1713" s="2" t="n"/>
    </row>
    <row r="1714">
      <c r="D1714" s="2" t="n"/>
      <c r="E1714" s="3" t="n"/>
      <c r="F1714" s="3" t="n"/>
      <c r="G1714" s="3" t="n"/>
      <c r="H1714" s="4" t="n"/>
      <c r="L1714" s="2" t="n"/>
      <c r="N1714" s="2" t="n"/>
    </row>
    <row r="1715">
      <c r="D1715" s="2" t="n"/>
      <c r="E1715" s="3" t="n"/>
      <c r="F1715" s="3" t="n"/>
      <c r="G1715" s="3" t="n"/>
      <c r="H1715" s="4" t="n"/>
      <c r="L1715" s="2" t="n"/>
      <c r="N1715" s="2" t="n"/>
    </row>
    <row r="1716">
      <c r="D1716" s="2" t="n"/>
      <c r="E1716" s="3" t="n"/>
      <c r="F1716" s="3" t="n"/>
      <c r="G1716" s="3" t="n"/>
      <c r="H1716" s="4" t="n"/>
      <c r="L1716" s="2" t="n"/>
      <c r="N1716" s="2" t="n"/>
    </row>
    <row r="1717">
      <c r="D1717" s="2" t="n"/>
      <c r="E1717" s="3" t="n"/>
      <c r="F1717" s="3" t="n"/>
      <c r="G1717" s="3" t="n"/>
      <c r="H1717" s="4" t="n"/>
      <c r="L1717" s="2" t="n"/>
      <c r="N1717" s="2" t="n"/>
    </row>
    <row r="1718">
      <c r="D1718" s="2" t="n"/>
      <c r="E1718" s="3" t="n"/>
      <c r="F1718" s="3" t="n"/>
      <c r="G1718" s="3" t="n"/>
      <c r="H1718" s="4" t="n"/>
      <c r="L1718" s="2" t="n"/>
      <c r="N1718" s="2" t="n"/>
    </row>
    <row r="1719">
      <c r="D1719" s="2" t="n"/>
      <c r="E1719" s="3" t="n"/>
      <c r="F1719" s="3" t="n"/>
      <c r="G1719" s="3" t="n"/>
      <c r="H1719" s="4" t="n"/>
      <c r="L1719" s="2" t="n"/>
      <c r="N1719" s="2" t="n"/>
    </row>
    <row r="1720">
      <c r="D1720" s="2" t="n"/>
      <c r="E1720" s="3" t="n"/>
      <c r="F1720" s="3" t="n"/>
      <c r="G1720" s="3" t="n"/>
      <c r="H1720" s="4" t="n"/>
      <c r="L1720" s="2" t="n"/>
      <c r="N1720" s="2" t="n"/>
    </row>
    <row r="1721">
      <c r="D1721" s="2" t="n"/>
      <c r="E1721" s="3" t="n"/>
      <c r="F1721" s="3" t="n"/>
      <c r="G1721" s="3" t="n"/>
      <c r="H1721" s="4" t="n"/>
      <c r="L1721" s="2" t="n"/>
      <c r="N1721" s="2" t="n"/>
    </row>
    <row r="1722">
      <c r="D1722" s="2" t="n"/>
      <c r="E1722" s="3" t="n"/>
      <c r="F1722" s="3" t="n"/>
      <c r="G1722" s="3" t="n"/>
      <c r="H1722" s="4" t="n"/>
      <c r="L1722" s="2" t="n"/>
      <c r="N1722" s="2" t="n"/>
    </row>
    <row r="1723">
      <c r="D1723" s="2" t="n"/>
      <c r="E1723" s="3" t="n"/>
      <c r="F1723" s="3" t="n"/>
      <c r="G1723" s="3" t="n"/>
      <c r="H1723" s="4" t="n"/>
      <c r="L1723" s="2" t="n"/>
      <c r="N1723" s="2" t="n"/>
    </row>
    <row r="1724">
      <c r="D1724" s="2" t="n"/>
      <c r="E1724" s="3" t="n"/>
      <c r="F1724" s="3" t="n"/>
      <c r="G1724" s="3" t="n"/>
      <c r="H1724" s="4" t="n"/>
      <c r="L1724" s="2" t="n"/>
      <c r="N1724" s="2" t="n"/>
    </row>
    <row r="1725">
      <c r="D1725" s="2" t="n"/>
      <c r="E1725" s="3" t="n"/>
      <c r="F1725" s="3" t="n"/>
      <c r="G1725" s="3" t="n"/>
      <c r="H1725" s="4" t="n"/>
      <c r="L1725" s="2" t="n"/>
      <c r="N1725" s="2" t="n"/>
    </row>
    <row r="1726">
      <c r="D1726" s="2" t="n"/>
      <c r="E1726" s="3" t="n"/>
      <c r="F1726" s="3" t="n"/>
      <c r="G1726" s="3" t="n"/>
      <c r="H1726" s="4" t="n"/>
      <c r="L1726" s="2" t="n"/>
      <c r="N1726" s="2" t="n"/>
    </row>
    <row r="1727">
      <c r="D1727" s="2" t="n"/>
      <c r="E1727" s="3" t="n"/>
      <c r="F1727" s="3" t="n"/>
      <c r="G1727" s="3" t="n"/>
      <c r="H1727" s="4" t="n"/>
      <c r="L1727" s="2" t="n"/>
      <c r="N1727" s="2" t="n"/>
    </row>
    <row r="1728">
      <c r="D1728" s="2" t="n"/>
      <c r="E1728" s="3" t="n"/>
      <c r="F1728" s="3" t="n"/>
      <c r="G1728" s="3" t="n"/>
      <c r="H1728" s="4" t="n"/>
      <c r="L1728" s="2" t="n"/>
      <c r="N1728" s="2" t="n"/>
    </row>
    <row r="1729">
      <c r="D1729" s="2" t="n"/>
      <c r="E1729" s="3" t="n"/>
      <c r="F1729" s="3" t="n"/>
      <c r="G1729" s="3" t="n"/>
      <c r="H1729" s="4" t="n"/>
      <c r="L1729" s="2" t="n"/>
      <c r="N1729" s="2" t="n"/>
    </row>
    <row r="1730">
      <c r="D1730" s="2" t="n"/>
      <c r="E1730" s="3" t="n"/>
      <c r="F1730" s="3" t="n"/>
      <c r="G1730" s="3" t="n"/>
      <c r="H1730" s="4" t="n"/>
      <c r="L1730" s="2" t="n"/>
      <c r="N1730" s="2" t="n"/>
    </row>
    <row r="1731">
      <c r="D1731" s="2" t="n"/>
      <c r="E1731" s="3" t="n"/>
      <c r="F1731" s="3" t="n"/>
      <c r="G1731" s="3" t="n"/>
      <c r="H1731" s="4" t="n"/>
      <c r="L1731" s="2" t="n"/>
      <c r="N1731" s="2" t="n"/>
    </row>
    <row r="1732">
      <c r="D1732" s="2" t="n"/>
      <c r="E1732" s="3" t="n"/>
      <c r="F1732" s="3" t="n"/>
      <c r="G1732" s="3" t="n"/>
      <c r="H1732" s="4" t="n"/>
      <c r="L1732" s="2" t="n"/>
      <c r="N1732" s="2" t="n"/>
    </row>
    <row r="1733">
      <c r="D1733" s="2" t="n"/>
      <c r="E1733" s="3" t="n"/>
      <c r="F1733" s="3" t="n"/>
      <c r="G1733" s="3" t="n"/>
      <c r="H1733" s="4" t="n"/>
      <c r="L1733" s="2" t="n"/>
      <c r="N1733" s="2" t="n"/>
    </row>
    <row r="1734">
      <c r="D1734" s="2" t="n"/>
      <c r="E1734" s="3" t="n"/>
      <c r="F1734" s="3" t="n"/>
      <c r="G1734" s="3" t="n"/>
      <c r="H1734" s="4" t="n"/>
      <c r="L1734" s="2" t="n"/>
      <c r="N1734" s="2" t="n"/>
    </row>
    <row r="1735">
      <c r="D1735" s="2" t="n"/>
      <c r="E1735" s="3" t="n"/>
      <c r="F1735" s="3" t="n"/>
      <c r="G1735" s="3" t="n"/>
      <c r="H1735" s="4" t="n"/>
      <c r="L1735" s="2" t="n"/>
      <c r="N1735" s="2" t="n"/>
    </row>
    <row r="1736">
      <c r="D1736" s="2" t="n"/>
      <c r="E1736" s="3" t="n"/>
      <c r="F1736" s="3" t="n"/>
      <c r="G1736" s="3" t="n"/>
      <c r="H1736" s="4" t="n"/>
      <c r="L1736" s="2" t="n"/>
      <c r="N1736" s="2" t="n"/>
    </row>
    <row r="1737">
      <c r="D1737" s="2" t="n"/>
      <c r="E1737" s="3" t="n"/>
      <c r="F1737" s="3" t="n"/>
      <c r="G1737" s="3" t="n"/>
      <c r="H1737" s="4" t="n"/>
      <c r="L1737" s="2" t="n"/>
      <c r="N1737" s="2" t="n"/>
    </row>
    <row r="1738">
      <c r="D1738" s="2" t="n"/>
      <c r="E1738" s="3" t="n"/>
      <c r="F1738" s="3" t="n"/>
      <c r="G1738" s="3" t="n"/>
      <c r="H1738" s="4" t="n"/>
      <c r="L1738" s="2" t="n"/>
      <c r="N1738" s="2" t="n"/>
    </row>
    <row r="1739">
      <c r="D1739" s="2" t="n"/>
      <c r="E1739" s="3" t="n"/>
      <c r="F1739" s="3" t="n"/>
      <c r="G1739" s="3" t="n"/>
      <c r="H1739" s="4" t="n"/>
      <c r="L1739" s="2" t="n"/>
      <c r="N1739" s="2" t="n"/>
    </row>
    <row r="1740">
      <c r="D1740" s="2" t="n"/>
      <c r="E1740" s="3" t="n"/>
      <c r="F1740" s="3" t="n"/>
      <c r="G1740" s="3" t="n"/>
      <c r="H1740" s="4" t="n"/>
      <c r="L1740" s="2" t="n"/>
      <c r="N1740" s="2" t="n"/>
    </row>
    <row r="1741">
      <c r="D1741" s="2" t="n"/>
      <c r="E1741" s="3" t="n"/>
      <c r="F1741" s="3" t="n"/>
      <c r="G1741" s="3" t="n"/>
      <c r="H1741" s="4" t="n"/>
      <c r="L1741" s="2" t="n"/>
      <c r="N1741" s="2" t="n"/>
    </row>
    <row r="1742">
      <c r="D1742" s="2" t="n"/>
      <c r="E1742" s="3" t="n"/>
      <c r="F1742" s="3" t="n"/>
      <c r="G1742" s="3" t="n"/>
      <c r="H1742" s="4" t="n"/>
      <c r="L1742" s="2" t="n"/>
      <c r="N1742" s="2" t="n"/>
    </row>
    <row r="1743">
      <c r="D1743" s="2" t="n"/>
      <c r="E1743" s="3" t="n"/>
      <c r="F1743" s="3" t="n"/>
      <c r="G1743" s="3" t="n"/>
      <c r="H1743" s="4" t="n"/>
      <c r="L1743" s="2" t="n"/>
      <c r="N1743" s="2" t="n"/>
    </row>
    <row r="1744">
      <c r="D1744" s="2" t="n"/>
      <c r="E1744" s="3" t="n"/>
      <c r="F1744" s="3" t="n"/>
      <c r="G1744" s="3" t="n"/>
      <c r="H1744" s="4" t="n"/>
      <c r="L1744" s="2" t="n"/>
      <c r="N1744" s="2" t="n"/>
    </row>
    <row r="1745">
      <c r="D1745" s="2" t="n"/>
      <c r="E1745" s="3" t="n"/>
      <c r="F1745" s="3" t="n"/>
      <c r="G1745" s="3" t="n"/>
      <c r="H1745" s="4" t="n"/>
      <c r="L1745" s="2" t="n"/>
      <c r="N1745" s="2" t="n"/>
    </row>
    <row r="1746">
      <c r="D1746" s="2" t="n"/>
      <c r="E1746" s="3" t="n"/>
      <c r="F1746" s="3" t="n"/>
      <c r="G1746" s="3" t="n"/>
      <c r="H1746" s="4" t="n"/>
      <c r="L1746" s="2" t="n"/>
      <c r="N1746" s="2" t="n"/>
    </row>
    <row r="1747">
      <c r="D1747" s="2" t="n"/>
      <c r="E1747" s="3" t="n"/>
      <c r="F1747" s="3" t="n"/>
      <c r="G1747" s="3" t="n"/>
      <c r="H1747" s="4" t="n"/>
      <c r="L1747" s="2" t="n"/>
      <c r="N1747" s="2" t="n"/>
    </row>
    <row r="1748">
      <c r="D1748" s="2" t="n"/>
      <c r="E1748" s="3" t="n"/>
      <c r="F1748" s="3" t="n"/>
      <c r="G1748" s="3" t="n"/>
      <c r="H1748" s="4" t="n"/>
      <c r="L1748" s="2" t="n"/>
      <c r="N1748" s="2" t="n"/>
    </row>
    <row r="1749">
      <c r="D1749" s="2" t="n"/>
      <c r="E1749" s="3" t="n"/>
      <c r="F1749" s="3" t="n"/>
      <c r="G1749" s="3" t="n"/>
      <c r="H1749" s="4" t="n"/>
      <c r="L1749" s="2" t="n"/>
      <c r="N1749" s="2" t="n"/>
    </row>
    <row r="1750">
      <c r="D1750" s="2" t="n"/>
      <c r="E1750" s="3" t="n"/>
      <c r="F1750" s="3" t="n"/>
      <c r="G1750" s="3" t="n"/>
      <c r="H1750" s="4" t="n"/>
      <c r="L1750" s="2" t="n"/>
      <c r="N1750" s="2" t="n"/>
    </row>
    <row r="1751">
      <c r="D1751" s="2" t="n"/>
      <c r="E1751" s="3" t="n"/>
      <c r="F1751" s="3" t="n"/>
      <c r="G1751" s="3" t="n"/>
      <c r="H1751" s="4" t="n"/>
      <c r="L1751" s="2" t="n"/>
      <c r="N1751" s="2" t="n"/>
    </row>
    <row r="1752">
      <c r="D1752" s="2" t="n"/>
      <c r="E1752" s="3" t="n"/>
      <c r="F1752" s="3" t="n"/>
      <c r="G1752" s="3" t="n"/>
      <c r="H1752" s="4" t="n"/>
      <c r="L1752" s="2" t="n"/>
      <c r="N1752" s="2" t="n"/>
    </row>
    <row r="1753">
      <c r="D1753" s="2" t="n"/>
      <c r="E1753" s="3" t="n"/>
      <c r="F1753" s="3" t="n"/>
      <c r="G1753" s="3" t="n"/>
      <c r="H1753" s="4" t="n"/>
      <c r="L1753" s="2" t="n"/>
      <c r="N1753" s="2" t="n"/>
    </row>
    <row r="1754">
      <c r="D1754" s="2" t="n"/>
      <c r="E1754" s="3" t="n"/>
      <c r="F1754" s="3" t="n"/>
      <c r="G1754" s="3" t="n"/>
      <c r="H1754" s="4" t="n"/>
      <c r="L1754" s="2" t="n"/>
      <c r="N1754" s="2" t="n"/>
    </row>
    <row r="1755">
      <c r="D1755" s="2" t="n"/>
      <c r="E1755" s="3" t="n"/>
      <c r="F1755" s="3" t="n"/>
      <c r="G1755" s="3" t="n"/>
      <c r="H1755" s="4" t="n"/>
      <c r="L1755" s="2" t="n"/>
      <c r="N1755" s="2" t="n"/>
    </row>
    <row r="1756">
      <c r="D1756" s="2" t="n"/>
      <c r="E1756" s="3" t="n"/>
      <c r="F1756" s="3" t="n"/>
      <c r="G1756" s="3" t="n"/>
      <c r="H1756" s="4" t="n"/>
      <c r="L1756" s="2" t="n"/>
      <c r="N1756" s="2" t="n"/>
    </row>
    <row r="1757">
      <c r="D1757" s="2" t="n"/>
      <c r="E1757" s="3" t="n"/>
      <c r="F1757" s="3" t="n"/>
      <c r="G1757" s="3" t="n"/>
      <c r="H1757" s="4" t="n"/>
      <c r="L1757" s="2" t="n"/>
      <c r="N1757" s="2" t="n"/>
    </row>
    <row r="1758">
      <c r="D1758" s="2" t="n"/>
      <c r="E1758" s="3" t="n"/>
      <c r="F1758" s="3" t="n"/>
      <c r="G1758" s="3" t="n"/>
      <c r="H1758" s="4" t="n"/>
      <c r="L1758" s="2" t="n"/>
      <c r="N1758" s="2" t="n"/>
    </row>
    <row r="1759">
      <c r="D1759" s="2" t="n"/>
      <c r="E1759" s="3" t="n"/>
      <c r="F1759" s="3" t="n"/>
      <c r="G1759" s="3" t="n"/>
      <c r="H1759" s="4" t="n"/>
      <c r="L1759" s="2" t="n"/>
      <c r="N1759" s="2" t="n"/>
    </row>
    <row r="1760">
      <c r="D1760" s="2" t="n"/>
      <c r="E1760" s="3" t="n"/>
      <c r="F1760" s="3" t="n"/>
      <c r="G1760" s="3" t="n"/>
      <c r="H1760" s="4" t="n"/>
      <c r="L1760" s="2" t="n"/>
      <c r="N1760" s="2" t="n"/>
    </row>
    <row r="1761">
      <c r="D1761" s="2" t="n"/>
      <c r="E1761" s="3" t="n"/>
      <c r="F1761" s="3" t="n"/>
      <c r="G1761" s="3" t="n"/>
      <c r="H1761" s="4" t="n"/>
      <c r="L1761" s="2" t="n"/>
      <c r="N1761" s="2" t="n"/>
    </row>
    <row r="1762">
      <c r="D1762" s="2" t="n"/>
      <c r="E1762" s="3" t="n"/>
      <c r="F1762" s="3" t="n"/>
      <c r="G1762" s="3" t="n"/>
      <c r="H1762" s="4" t="n"/>
      <c r="L1762" s="2" t="n"/>
      <c r="N1762" s="2" t="n"/>
    </row>
    <row r="1763">
      <c r="D1763" s="2" t="n"/>
      <c r="E1763" s="3" t="n"/>
      <c r="F1763" s="3" t="n"/>
      <c r="G1763" s="3" t="n"/>
      <c r="H1763" s="4" t="n"/>
      <c r="L1763" s="2" t="n"/>
      <c r="N1763" s="2" t="n"/>
    </row>
    <row r="1764">
      <c r="D1764" s="2" t="n"/>
      <c r="E1764" s="3" t="n"/>
      <c r="F1764" s="3" t="n"/>
      <c r="G1764" s="3" t="n"/>
      <c r="H1764" s="4" t="n"/>
      <c r="L1764" s="2" t="n"/>
      <c r="N1764" s="2" t="n"/>
    </row>
    <row r="1765">
      <c r="D1765" s="2" t="n"/>
      <c r="E1765" s="3" t="n"/>
      <c r="F1765" s="3" t="n"/>
      <c r="G1765" s="3" t="n"/>
      <c r="H1765" s="4" t="n"/>
      <c r="L1765" s="2" t="n"/>
      <c r="N1765" s="2" t="n"/>
    </row>
    <row r="1766">
      <c r="D1766" s="2" t="n"/>
      <c r="E1766" s="3" t="n"/>
      <c r="F1766" s="3" t="n"/>
      <c r="G1766" s="3" t="n"/>
      <c r="H1766" s="4" t="n"/>
      <c r="L1766" s="2" t="n"/>
      <c r="N1766" s="2" t="n"/>
    </row>
    <row r="1767">
      <c r="D1767" s="2" t="n"/>
      <c r="E1767" s="3" t="n"/>
      <c r="F1767" s="3" t="n"/>
      <c r="G1767" s="3" t="n"/>
      <c r="H1767" s="4" t="n"/>
      <c r="L1767" s="2" t="n"/>
      <c r="N1767" s="2" t="n"/>
    </row>
    <row r="1768">
      <c r="D1768" s="2" t="n"/>
      <c r="E1768" s="3" t="n"/>
      <c r="F1768" s="3" t="n"/>
      <c r="G1768" s="3" t="n"/>
      <c r="H1768" s="4" t="n"/>
      <c r="L1768" s="2" t="n"/>
      <c r="N1768" s="2" t="n"/>
    </row>
    <row r="1769">
      <c r="D1769" s="2" t="n"/>
      <c r="E1769" s="3" t="n"/>
      <c r="F1769" s="3" t="n"/>
      <c r="G1769" s="3" t="n"/>
      <c r="H1769" s="4" t="n"/>
      <c r="L1769" s="2" t="n"/>
      <c r="N1769" s="2" t="n"/>
    </row>
    <row r="1770">
      <c r="D1770" s="2" t="n"/>
      <c r="E1770" s="3" t="n"/>
      <c r="F1770" s="3" t="n"/>
      <c r="G1770" s="3" t="n"/>
      <c r="H1770" s="4" t="n"/>
      <c r="L1770" s="2" t="n"/>
      <c r="N1770" s="2" t="n"/>
    </row>
    <row r="1771">
      <c r="D1771" s="2" t="n"/>
      <c r="E1771" s="3" t="n"/>
      <c r="F1771" s="3" t="n"/>
      <c r="G1771" s="3" t="n"/>
      <c r="H1771" s="4" t="n"/>
      <c r="L1771" s="2" t="n"/>
      <c r="N1771" s="2" t="n"/>
    </row>
    <row r="1772">
      <c r="D1772" s="2" t="n"/>
      <c r="E1772" s="3" t="n"/>
      <c r="F1772" s="3" t="n"/>
      <c r="G1772" s="3" t="n"/>
      <c r="H1772" s="4" t="n"/>
      <c r="L1772" s="2" t="n"/>
      <c r="N1772" s="2" t="n"/>
    </row>
    <row r="1773">
      <c r="D1773" s="2" t="n"/>
      <c r="E1773" s="3" t="n"/>
      <c r="F1773" s="3" t="n"/>
      <c r="G1773" s="3" t="n"/>
      <c r="H1773" s="4" t="n"/>
      <c r="L1773" s="2" t="n"/>
      <c r="N1773" s="2" t="n"/>
    </row>
    <row r="1774">
      <c r="D1774" s="2" t="n"/>
      <c r="E1774" s="3" t="n"/>
      <c r="F1774" s="3" t="n"/>
      <c r="G1774" s="3" t="n"/>
      <c r="H1774" s="4" t="n"/>
      <c r="L1774" s="2" t="n"/>
      <c r="N1774" s="2" t="n"/>
    </row>
    <row r="1775">
      <c r="D1775" s="2" t="n"/>
      <c r="E1775" s="3" t="n"/>
      <c r="F1775" s="3" t="n"/>
      <c r="G1775" s="3" t="n"/>
      <c r="H1775" s="4" t="n"/>
      <c r="L1775" s="2" t="n"/>
      <c r="N1775" s="2" t="n"/>
    </row>
    <row r="1776">
      <c r="D1776" s="2" t="n"/>
      <c r="E1776" s="3" t="n"/>
      <c r="F1776" s="3" t="n"/>
      <c r="G1776" s="3" t="n"/>
      <c r="H1776" s="4" t="n"/>
      <c r="L1776" s="2" t="n"/>
      <c r="N1776" s="2" t="n"/>
    </row>
    <row r="1777">
      <c r="D1777" s="2" t="n"/>
      <c r="E1777" s="3" t="n"/>
      <c r="F1777" s="3" t="n"/>
      <c r="G1777" s="3" t="n"/>
      <c r="H1777" s="4" t="n"/>
      <c r="L1777" s="2" t="n"/>
      <c r="N1777" s="2" t="n"/>
    </row>
    <row r="1778">
      <c r="D1778" s="2" t="n"/>
      <c r="E1778" s="3" t="n"/>
      <c r="F1778" s="3" t="n"/>
      <c r="G1778" s="3" t="n"/>
      <c r="H1778" s="4" t="n"/>
      <c r="L1778" s="2" t="n"/>
      <c r="N1778" s="2" t="n"/>
    </row>
    <row r="1779">
      <c r="D1779" s="2" t="n"/>
      <c r="E1779" s="3" t="n"/>
      <c r="F1779" s="3" t="n"/>
      <c r="G1779" s="3" t="n"/>
      <c r="H1779" s="4" t="n"/>
      <c r="L1779" s="2" t="n"/>
      <c r="N1779" s="2" t="n"/>
    </row>
    <row r="1780">
      <c r="D1780" s="2" t="n"/>
      <c r="E1780" s="3" t="n"/>
      <c r="F1780" s="3" t="n"/>
      <c r="G1780" s="3" t="n"/>
      <c r="H1780" s="4" t="n"/>
      <c r="L1780" s="2" t="n"/>
      <c r="N1780" s="2" t="n"/>
    </row>
    <row r="1781">
      <c r="D1781" s="2" t="n"/>
      <c r="E1781" s="3" t="n"/>
      <c r="F1781" s="3" t="n"/>
      <c r="G1781" s="3" t="n"/>
      <c r="H1781" s="4" t="n"/>
      <c r="L1781" s="2" t="n"/>
      <c r="N1781" s="2" t="n"/>
    </row>
    <row r="1782">
      <c r="D1782" s="2" t="n"/>
      <c r="E1782" s="3" t="n"/>
      <c r="F1782" s="3" t="n"/>
      <c r="G1782" s="3" t="n"/>
      <c r="H1782" s="4" t="n"/>
      <c r="L1782" s="2" t="n"/>
      <c r="N1782" s="2" t="n"/>
    </row>
    <row r="1783">
      <c r="D1783" s="2" t="n"/>
      <c r="E1783" s="3" t="n"/>
      <c r="F1783" s="3" t="n"/>
      <c r="G1783" s="3" t="n"/>
      <c r="H1783" s="4" t="n"/>
      <c r="L1783" s="2" t="n"/>
      <c r="N1783" s="2" t="n"/>
    </row>
    <row r="1784">
      <c r="D1784" s="2" t="n"/>
      <c r="E1784" s="3" t="n"/>
      <c r="F1784" s="3" t="n"/>
      <c r="G1784" s="3" t="n"/>
      <c r="H1784" s="4" t="n"/>
      <c r="L1784" s="2" t="n"/>
      <c r="N1784" s="2" t="n"/>
    </row>
    <row r="1785">
      <c r="D1785" s="2" t="n"/>
      <c r="E1785" s="3" t="n"/>
      <c r="F1785" s="3" t="n"/>
      <c r="G1785" s="3" t="n"/>
      <c r="H1785" s="4" t="n"/>
      <c r="L1785" s="2" t="n"/>
      <c r="N1785" s="2" t="n"/>
    </row>
    <row r="1786">
      <c r="D1786" s="2" t="n"/>
      <c r="E1786" s="3" t="n"/>
      <c r="F1786" s="3" t="n"/>
      <c r="G1786" s="3" t="n"/>
      <c r="H1786" s="4" t="n"/>
      <c r="L1786" s="2" t="n"/>
      <c r="N1786" s="2" t="n"/>
    </row>
    <row r="1787">
      <c r="D1787" s="2" t="n"/>
      <c r="E1787" s="3" t="n"/>
      <c r="F1787" s="3" t="n"/>
      <c r="G1787" s="3" t="n"/>
      <c r="H1787" s="4" t="n"/>
      <c r="L1787" s="2" t="n"/>
      <c r="N1787" s="2" t="n"/>
    </row>
    <row r="1788">
      <c r="D1788" s="2" t="n"/>
      <c r="E1788" s="3" t="n"/>
      <c r="F1788" s="3" t="n"/>
      <c r="G1788" s="3" t="n"/>
      <c r="H1788" s="4" t="n"/>
      <c r="L1788" s="2" t="n"/>
      <c r="N1788" s="2" t="n"/>
    </row>
    <row r="1789">
      <c r="D1789" s="2" t="n"/>
      <c r="E1789" s="3" t="n"/>
      <c r="F1789" s="3" t="n"/>
      <c r="G1789" s="3" t="n"/>
      <c r="H1789" s="4" t="n"/>
      <c r="L1789" s="2" t="n"/>
      <c r="N1789" s="2" t="n"/>
    </row>
    <row r="1790">
      <c r="D1790" s="2" t="n"/>
      <c r="E1790" s="3" t="n"/>
      <c r="F1790" s="3" t="n"/>
      <c r="G1790" s="3" t="n"/>
      <c r="H1790" s="4" t="n"/>
      <c r="L1790" s="2" t="n"/>
      <c r="N1790" s="2" t="n"/>
    </row>
    <row r="1791">
      <c r="D1791" s="2" t="n"/>
      <c r="E1791" s="3" t="n"/>
      <c r="F1791" s="3" t="n"/>
      <c r="G1791" s="3" t="n"/>
      <c r="H1791" s="4" t="n"/>
      <c r="L1791" s="2" t="n"/>
      <c r="N1791" s="2" t="n"/>
    </row>
    <row r="1792">
      <c r="D1792" s="2" t="n"/>
      <c r="E1792" s="3" t="n"/>
      <c r="F1792" s="3" t="n"/>
      <c r="G1792" s="3" t="n"/>
      <c r="H1792" s="4" t="n"/>
      <c r="L1792" s="2" t="n"/>
      <c r="N1792" s="2" t="n"/>
    </row>
    <row r="1793">
      <c r="D1793" s="2" t="n"/>
      <c r="E1793" s="3" t="n"/>
      <c r="F1793" s="3" t="n"/>
      <c r="G1793" s="3" t="n"/>
      <c r="H1793" s="4" t="n"/>
      <c r="L1793" s="2" t="n"/>
      <c r="N1793" s="2" t="n"/>
    </row>
    <row r="1794">
      <c r="D1794" s="2" t="n"/>
      <c r="E1794" s="3" t="n"/>
      <c r="F1794" s="3" t="n"/>
      <c r="G1794" s="3" t="n"/>
      <c r="H1794" s="4" t="n"/>
      <c r="L1794" s="2" t="n"/>
      <c r="N1794" s="2" t="n"/>
    </row>
    <row r="1795">
      <c r="D1795" s="2" t="n"/>
      <c r="E1795" s="3" t="n"/>
      <c r="F1795" s="3" t="n"/>
      <c r="G1795" s="3" t="n"/>
      <c r="H1795" s="4" t="n"/>
      <c r="L1795" s="2" t="n"/>
      <c r="N1795" s="2" t="n"/>
    </row>
    <row r="1796">
      <c r="D1796" s="2" t="n"/>
      <c r="E1796" s="3" t="n"/>
      <c r="F1796" s="3" t="n"/>
      <c r="G1796" s="3" t="n"/>
      <c r="H1796" s="4" t="n"/>
      <c r="L1796" s="2" t="n"/>
      <c r="N1796" s="2" t="n"/>
    </row>
    <row r="1797">
      <c r="D1797" s="2" t="n"/>
      <c r="E1797" s="3" t="n"/>
      <c r="F1797" s="3" t="n"/>
      <c r="G1797" s="3" t="n"/>
      <c r="H1797" s="4" t="n"/>
      <c r="L1797" s="2" t="n"/>
      <c r="N1797" s="2" t="n"/>
    </row>
    <row r="1798">
      <c r="D1798" s="2" t="n"/>
      <c r="E1798" s="3" t="n"/>
      <c r="F1798" s="3" t="n"/>
      <c r="G1798" s="3" t="n"/>
      <c r="H1798" s="4" t="n"/>
      <c r="L1798" s="2" t="n"/>
      <c r="N1798" s="2" t="n"/>
    </row>
    <row r="1799">
      <c r="D1799" s="2" t="n"/>
      <c r="E1799" s="3" t="n"/>
      <c r="F1799" s="3" t="n"/>
      <c r="G1799" s="3" t="n"/>
      <c r="H1799" s="4" t="n"/>
      <c r="L1799" s="2" t="n"/>
      <c r="N1799" s="2" t="n"/>
    </row>
    <row r="1800">
      <c r="D1800" s="2" t="n"/>
      <c r="E1800" s="3" t="n"/>
      <c r="F1800" s="3" t="n"/>
      <c r="G1800" s="3" t="n"/>
      <c r="H1800" s="4" t="n"/>
      <c r="L1800" s="2" t="n"/>
      <c r="N1800" s="2" t="n"/>
    </row>
    <row r="1801">
      <c r="D1801" s="2" t="n"/>
      <c r="E1801" s="3" t="n"/>
      <c r="F1801" s="3" t="n"/>
      <c r="G1801" s="3" t="n"/>
      <c r="H1801" s="4" t="n"/>
      <c r="L1801" s="2" t="n"/>
      <c r="N1801" s="2" t="n"/>
    </row>
    <row r="1802">
      <c r="D1802" s="2" t="n"/>
      <c r="E1802" s="3" t="n"/>
      <c r="F1802" s="3" t="n"/>
      <c r="G1802" s="3" t="n"/>
      <c r="H1802" s="4" t="n"/>
      <c r="L1802" s="2" t="n"/>
      <c r="N1802" s="2" t="n"/>
    </row>
    <row r="1803">
      <c r="D1803" s="2" t="n"/>
      <c r="E1803" s="3" t="n"/>
      <c r="F1803" s="3" t="n"/>
      <c r="G1803" s="3" t="n"/>
      <c r="H1803" s="4" t="n"/>
      <c r="L1803" s="2" t="n"/>
      <c r="N1803" s="2" t="n"/>
    </row>
    <row r="1804">
      <c r="D1804" s="2" t="n"/>
      <c r="E1804" s="3" t="n"/>
      <c r="F1804" s="3" t="n"/>
      <c r="G1804" s="3" t="n"/>
      <c r="H1804" s="4" t="n"/>
      <c r="L1804" s="2" t="n"/>
      <c r="N1804" s="2" t="n"/>
    </row>
    <row r="1805">
      <c r="D1805" s="2" t="n"/>
      <c r="E1805" s="3" t="n"/>
      <c r="F1805" s="3" t="n"/>
      <c r="G1805" s="3" t="n"/>
      <c r="H1805" s="4" t="n"/>
      <c r="L1805" s="2" t="n"/>
      <c r="N1805" s="2" t="n"/>
    </row>
    <row r="1806">
      <c r="D1806" s="2" t="n"/>
      <c r="E1806" s="3" t="n"/>
      <c r="F1806" s="3" t="n"/>
      <c r="G1806" s="3" t="n"/>
      <c r="H1806" s="4" t="n"/>
      <c r="L1806" s="2" t="n"/>
      <c r="N1806" s="2" t="n"/>
    </row>
    <row r="1807">
      <c r="D1807" s="2" t="n"/>
      <c r="E1807" s="3" t="n"/>
      <c r="F1807" s="3" t="n"/>
      <c r="G1807" s="3" t="n"/>
      <c r="H1807" s="4" t="n"/>
      <c r="L1807" s="2" t="n"/>
      <c r="N1807" s="2" t="n"/>
    </row>
    <row r="1808">
      <c r="D1808" s="2" t="n"/>
      <c r="E1808" s="3" t="n"/>
      <c r="F1808" s="3" t="n"/>
      <c r="G1808" s="3" t="n"/>
      <c r="H1808" s="4" t="n"/>
      <c r="L1808" s="2" t="n"/>
      <c r="N1808" s="2" t="n"/>
    </row>
    <row r="1809">
      <c r="D1809" s="2" t="n"/>
      <c r="E1809" s="3" t="n"/>
      <c r="F1809" s="3" t="n"/>
      <c r="G1809" s="3" t="n"/>
      <c r="H1809" s="4" t="n"/>
      <c r="L1809" s="2" t="n"/>
      <c r="N1809" s="2" t="n"/>
    </row>
    <row r="1810">
      <c r="D1810" s="2" t="n"/>
      <c r="E1810" s="3" t="n"/>
      <c r="F1810" s="3" t="n"/>
      <c r="G1810" s="3" t="n"/>
      <c r="H1810" s="4" t="n"/>
      <c r="L1810" s="2" t="n"/>
      <c r="N1810" s="2" t="n"/>
    </row>
    <row r="1811">
      <c r="D1811" s="2" t="n"/>
      <c r="E1811" s="3" t="n"/>
      <c r="F1811" s="3" t="n"/>
      <c r="G1811" s="3" t="n"/>
      <c r="H1811" s="4" t="n"/>
      <c r="L1811" s="2" t="n"/>
      <c r="N1811" s="2" t="n"/>
    </row>
    <row r="1812">
      <c r="D1812" s="2" t="n"/>
      <c r="E1812" s="3" t="n"/>
      <c r="F1812" s="3" t="n"/>
      <c r="G1812" s="3" t="n"/>
      <c r="H1812" s="4" t="n"/>
      <c r="L1812" s="2" t="n"/>
      <c r="N1812" s="2" t="n"/>
    </row>
    <row r="1813">
      <c r="D1813" s="2" t="n"/>
      <c r="E1813" s="3" t="n"/>
      <c r="F1813" s="3" t="n"/>
      <c r="G1813" s="3" t="n"/>
      <c r="H1813" s="4" t="n"/>
      <c r="L1813" s="2" t="n"/>
      <c r="N1813" s="2" t="n"/>
    </row>
    <row r="1814">
      <c r="D1814" s="2" t="n"/>
      <c r="E1814" s="3" t="n"/>
      <c r="F1814" s="3" t="n"/>
      <c r="G1814" s="3" t="n"/>
      <c r="H1814" s="4" t="n"/>
      <c r="L1814" s="2" t="n"/>
      <c r="N1814" s="2" t="n"/>
    </row>
    <row r="1815">
      <c r="D1815" s="2" t="n"/>
      <c r="E1815" s="3" t="n"/>
      <c r="F1815" s="3" t="n"/>
      <c r="G1815" s="3" t="n"/>
      <c r="H1815" s="4" t="n"/>
      <c r="L1815" s="2" t="n"/>
      <c r="N1815" s="2" t="n"/>
    </row>
    <row r="1816">
      <c r="D1816" s="2" t="n"/>
      <c r="E1816" s="3" t="n"/>
      <c r="F1816" s="3" t="n"/>
      <c r="G1816" s="3" t="n"/>
      <c r="H1816" s="4" t="n"/>
      <c r="L1816" s="2" t="n"/>
      <c r="N1816" s="2" t="n"/>
    </row>
    <row r="1817">
      <c r="D1817" s="2" t="n"/>
      <c r="E1817" s="3" t="n"/>
      <c r="F1817" s="3" t="n"/>
      <c r="G1817" s="3" t="n"/>
      <c r="H1817" s="4" t="n"/>
      <c r="L1817" s="2" t="n"/>
      <c r="N1817" s="2" t="n"/>
    </row>
    <row r="1818">
      <c r="D1818" s="2" t="n"/>
      <c r="E1818" s="3" t="n"/>
      <c r="F1818" s="3" t="n"/>
      <c r="G1818" s="3" t="n"/>
      <c r="H1818" s="4" t="n"/>
      <c r="L1818" s="2" t="n"/>
      <c r="N1818" s="2" t="n"/>
    </row>
    <row r="1819">
      <c r="D1819" s="2" t="n"/>
      <c r="E1819" s="3" t="n"/>
      <c r="F1819" s="3" t="n"/>
      <c r="G1819" s="3" t="n"/>
      <c r="H1819" s="4" t="n"/>
      <c r="L1819" s="2" t="n"/>
      <c r="N1819" s="2" t="n"/>
    </row>
    <row r="1820">
      <c r="D1820" s="2" t="n"/>
      <c r="E1820" s="3" t="n"/>
      <c r="F1820" s="3" t="n"/>
      <c r="G1820" s="3" t="n"/>
      <c r="H1820" s="4" t="n"/>
      <c r="L1820" s="2" t="n"/>
      <c r="N1820" s="2" t="n"/>
    </row>
    <row r="1821">
      <c r="D1821" s="2" t="n"/>
      <c r="E1821" s="3" t="n"/>
      <c r="F1821" s="3" t="n"/>
      <c r="G1821" s="3" t="n"/>
      <c r="H1821" s="4" t="n"/>
      <c r="L1821" s="2" t="n"/>
      <c r="N1821" s="2" t="n"/>
    </row>
    <row r="1822">
      <c r="D1822" s="2" t="n"/>
      <c r="E1822" s="3" t="n"/>
      <c r="F1822" s="3" t="n"/>
      <c r="G1822" s="3" t="n"/>
      <c r="H1822" s="4" t="n"/>
      <c r="L1822" s="2" t="n"/>
      <c r="N1822" s="2" t="n"/>
    </row>
    <row r="1823">
      <c r="D1823" s="2" t="n"/>
      <c r="E1823" s="3" t="n"/>
      <c r="F1823" s="3" t="n"/>
      <c r="G1823" s="3" t="n"/>
      <c r="H1823" s="4" t="n"/>
      <c r="L1823" s="2" t="n"/>
      <c r="N1823" s="2" t="n"/>
    </row>
    <row r="1824">
      <c r="D1824" s="2" t="n"/>
      <c r="E1824" s="3" t="n"/>
      <c r="F1824" s="3" t="n"/>
      <c r="G1824" s="3" t="n"/>
      <c r="H1824" s="4" t="n"/>
      <c r="L1824" s="2" t="n"/>
      <c r="N1824" s="2" t="n"/>
    </row>
    <row r="1825">
      <c r="D1825" s="2" t="n"/>
      <c r="E1825" s="3" t="n"/>
      <c r="F1825" s="3" t="n"/>
      <c r="G1825" s="3" t="n"/>
      <c r="H1825" s="4" t="n"/>
      <c r="L1825" s="2" t="n"/>
      <c r="N1825" s="2" t="n"/>
    </row>
    <row r="1826">
      <c r="D1826" s="2" t="n"/>
      <c r="E1826" s="3" t="n"/>
      <c r="F1826" s="3" t="n"/>
      <c r="G1826" s="3" t="n"/>
      <c r="H1826" s="4" t="n"/>
      <c r="L1826" s="2" t="n"/>
      <c r="N1826" s="2" t="n"/>
    </row>
    <row r="1827">
      <c r="D1827" s="2" t="n"/>
      <c r="E1827" s="3" t="n"/>
      <c r="F1827" s="3" t="n"/>
      <c r="G1827" s="3" t="n"/>
      <c r="H1827" s="4" t="n"/>
      <c r="L1827" s="2" t="n"/>
      <c r="N1827" s="2" t="n"/>
    </row>
    <row r="1828">
      <c r="D1828" s="2" t="n"/>
      <c r="E1828" s="3" t="n"/>
      <c r="F1828" s="3" t="n"/>
      <c r="G1828" s="3" t="n"/>
      <c r="H1828" s="4" t="n"/>
      <c r="L1828" s="2" t="n"/>
      <c r="N1828" s="2" t="n"/>
    </row>
    <row r="1829">
      <c r="D1829" s="2" t="n"/>
      <c r="E1829" s="3" t="n"/>
      <c r="F1829" s="3" t="n"/>
      <c r="G1829" s="3" t="n"/>
      <c r="H1829" s="4" t="n"/>
      <c r="L1829" s="2" t="n"/>
      <c r="N1829" s="2" t="n"/>
    </row>
    <row r="1830">
      <c r="D1830" s="2" t="n"/>
      <c r="E1830" s="3" t="n"/>
      <c r="F1830" s="3" t="n"/>
      <c r="G1830" s="3" t="n"/>
      <c r="H1830" s="4" t="n"/>
      <c r="L1830" s="2" t="n"/>
      <c r="N1830" s="2" t="n"/>
    </row>
    <row r="1831">
      <c r="D1831" s="2" t="n"/>
      <c r="E1831" s="3" t="n"/>
      <c r="F1831" s="3" t="n"/>
      <c r="G1831" s="3" t="n"/>
      <c r="H1831" s="4" t="n"/>
      <c r="L1831" s="2" t="n"/>
      <c r="N1831" s="2" t="n"/>
    </row>
    <row r="1832">
      <c r="D1832" s="2" t="n"/>
      <c r="E1832" s="3" t="n"/>
      <c r="F1832" s="3" t="n"/>
      <c r="G1832" s="3" t="n"/>
      <c r="H1832" s="4" t="n"/>
      <c r="L1832" s="2" t="n"/>
      <c r="N1832" s="2" t="n"/>
    </row>
    <row r="1833">
      <c r="D1833" s="2" t="n"/>
      <c r="E1833" s="3" t="n"/>
      <c r="F1833" s="3" t="n"/>
      <c r="G1833" s="3" t="n"/>
      <c r="H1833" s="4" t="n"/>
      <c r="L1833" s="2" t="n"/>
      <c r="N1833" s="2" t="n"/>
    </row>
    <row r="1834">
      <c r="D1834" s="2" t="n"/>
      <c r="E1834" s="3" t="n"/>
      <c r="F1834" s="3" t="n"/>
      <c r="G1834" s="3" t="n"/>
      <c r="H1834" s="4" t="n"/>
      <c r="L1834" s="2" t="n"/>
      <c r="N1834" s="2" t="n"/>
    </row>
    <row r="1835">
      <c r="D1835" s="2" t="n"/>
      <c r="E1835" s="3" t="n"/>
      <c r="F1835" s="3" t="n"/>
      <c r="G1835" s="3" t="n"/>
      <c r="H1835" s="4" t="n"/>
      <c r="L1835" s="2" t="n"/>
      <c r="N1835" s="2" t="n"/>
    </row>
    <row r="1836">
      <c r="D1836" s="2" t="n"/>
      <c r="E1836" s="3" t="n"/>
      <c r="F1836" s="3" t="n"/>
      <c r="G1836" s="3" t="n"/>
      <c r="H1836" s="4" t="n"/>
      <c r="L1836" s="2" t="n"/>
      <c r="N1836" s="2" t="n"/>
    </row>
    <row r="1837">
      <c r="D1837" s="2" t="n"/>
      <c r="E1837" s="3" t="n"/>
      <c r="F1837" s="3" t="n"/>
      <c r="G1837" s="3" t="n"/>
      <c r="H1837" s="4" t="n"/>
      <c r="L1837" s="2" t="n"/>
      <c r="N1837" s="2" t="n"/>
    </row>
    <row r="1838">
      <c r="D1838" s="2" t="n"/>
      <c r="E1838" s="3" t="n"/>
      <c r="F1838" s="3" t="n"/>
      <c r="G1838" s="3" t="n"/>
      <c r="H1838" s="4" t="n"/>
      <c r="L1838" s="2" t="n"/>
      <c r="N1838" s="2" t="n"/>
    </row>
    <row r="1839">
      <c r="D1839" s="2" t="n"/>
      <c r="E1839" s="3" t="n"/>
      <c r="F1839" s="3" t="n"/>
      <c r="G1839" s="3" t="n"/>
      <c r="H1839" s="4" t="n"/>
      <c r="L1839" s="2" t="n"/>
      <c r="N1839" s="2" t="n"/>
    </row>
    <row r="1840">
      <c r="D1840" s="2" t="n"/>
      <c r="E1840" s="3" t="n"/>
      <c r="F1840" s="3" t="n"/>
      <c r="G1840" s="3" t="n"/>
      <c r="H1840" s="4" t="n"/>
      <c r="L1840" s="2" t="n"/>
      <c r="N1840" s="2" t="n"/>
    </row>
    <row r="1841">
      <c r="D1841" s="2" t="n"/>
      <c r="E1841" s="3" t="n"/>
      <c r="F1841" s="3" t="n"/>
      <c r="G1841" s="3" t="n"/>
      <c r="H1841" s="4" t="n"/>
      <c r="L1841" s="2" t="n"/>
      <c r="N1841" s="2" t="n"/>
    </row>
    <row r="1842">
      <c r="D1842" s="2" t="n"/>
      <c r="E1842" s="3" t="n"/>
      <c r="F1842" s="3" t="n"/>
      <c r="G1842" s="3" t="n"/>
      <c r="H1842" s="4" t="n"/>
      <c r="L1842" s="2" t="n"/>
      <c r="N1842" s="2" t="n"/>
    </row>
    <row r="1843">
      <c r="D1843" s="2" t="n"/>
      <c r="E1843" s="3" t="n"/>
      <c r="F1843" s="3" t="n"/>
      <c r="G1843" s="3" t="n"/>
      <c r="H1843" s="4" t="n"/>
      <c r="L1843" s="2" t="n"/>
      <c r="N1843" s="2" t="n"/>
    </row>
    <row r="1844">
      <c r="D1844" s="2" t="n"/>
      <c r="E1844" s="3" t="n"/>
      <c r="F1844" s="3" t="n"/>
      <c r="G1844" s="3" t="n"/>
      <c r="H1844" s="4" t="n"/>
      <c r="L1844" s="2" t="n"/>
      <c r="N1844" s="2" t="n"/>
    </row>
    <row r="1845">
      <c r="D1845" s="2" t="n"/>
      <c r="E1845" s="3" t="n"/>
      <c r="F1845" s="3" t="n"/>
      <c r="G1845" s="3" t="n"/>
      <c r="H1845" s="4" t="n"/>
      <c r="L1845" s="2" t="n"/>
      <c r="N1845" s="2" t="n"/>
    </row>
    <row r="1846">
      <c r="D1846" s="2" t="n"/>
      <c r="E1846" s="3" t="n"/>
      <c r="F1846" s="3" t="n"/>
      <c r="G1846" s="3" t="n"/>
      <c r="H1846" s="4" t="n"/>
      <c r="L1846" s="2" t="n"/>
      <c r="N1846" s="2" t="n"/>
    </row>
    <row r="1847">
      <c r="D1847" s="2" t="n"/>
      <c r="E1847" s="3" t="n"/>
      <c r="F1847" s="3" t="n"/>
      <c r="G1847" s="3" t="n"/>
      <c r="H1847" s="4" t="n"/>
      <c r="L1847" s="2" t="n"/>
      <c r="N1847" s="2" t="n"/>
    </row>
    <row r="1848">
      <c r="D1848" s="2" t="n"/>
      <c r="E1848" s="3" t="n"/>
      <c r="F1848" s="3" t="n"/>
      <c r="G1848" s="3" t="n"/>
      <c r="H1848" s="4" t="n"/>
      <c r="L1848" s="2" t="n"/>
      <c r="N1848" s="2" t="n"/>
    </row>
    <row r="1849">
      <c r="D1849" s="2" t="n"/>
      <c r="E1849" s="3" t="n"/>
      <c r="F1849" s="3" t="n"/>
      <c r="G1849" s="3" t="n"/>
      <c r="H1849" s="4" t="n"/>
      <c r="L1849" s="2" t="n"/>
      <c r="N1849" s="2" t="n"/>
    </row>
    <row r="1850">
      <c r="D1850" s="2" t="n"/>
      <c r="E1850" s="3" t="n"/>
      <c r="F1850" s="3" t="n"/>
      <c r="G1850" s="3" t="n"/>
      <c r="H1850" s="4" t="n"/>
      <c r="L1850" s="2" t="n"/>
      <c r="N1850" s="2" t="n"/>
    </row>
    <row r="1851">
      <c r="D1851" s="2" t="n"/>
      <c r="E1851" s="3" t="n"/>
      <c r="F1851" s="3" t="n"/>
      <c r="G1851" s="3" t="n"/>
      <c r="H1851" s="4" t="n"/>
      <c r="L1851" s="2" t="n"/>
      <c r="N1851" s="2" t="n"/>
    </row>
    <row r="1852">
      <c r="D1852" s="2" t="n"/>
      <c r="E1852" s="3" t="n"/>
      <c r="F1852" s="3" t="n"/>
      <c r="G1852" s="3" t="n"/>
      <c r="H1852" s="4" t="n"/>
      <c r="L1852" s="2" t="n"/>
      <c r="N1852" s="2" t="n"/>
    </row>
    <row r="1853">
      <c r="D1853" s="2" t="n"/>
      <c r="E1853" s="3" t="n"/>
      <c r="F1853" s="3" t="n"/>
      <c r="G1853" s="3" t="n"/>
      <c r="H1853" s="4" t="n"/>
      <c r="L1853" s="2" t="n"/>
      <c r="N1853" s="2" t="n"/>
    </row>
    <row r="1854">
      <c r="D1854" s="2" t="n"/>
      <c r="E1854" s="3" t="n"/>
      <c r="F1854" s="3" t="n"/>
      <c r="G1854" s="3" t="n"/>
      <c r="H1854" s="4" t="n"/>
      <c r="L1854" s="2" t="n"/>
      <c r="N1854" s="2" t="n"/>
    </row>
    <row r="1855">
      <c r="D1855" s="2" t="n"/>
      <c r="E1855" s="3" t="n"/>
      <c r="F1855" s="3" t="n"/>
      <c r="G1855" s="3" t="n"/>
      <c r="H1855" s="4" t="n"/>
      <c r="L1855" s="2" t="n"/>
      <c r="N1855" s="2" t="n"/>
    </row>
    <row r="1856">
      <c r="D1856" s="2" t="n"/>
      <c r="E1856" s="3" t="n"/>
      <c r="F1856" s="3" t="n"/>
      <c r="G1856" s="3" t="n"/>
      <c r="H1856" s="4" t="n"/>
      <c r="L1856" s="2" t="n"/>
      <c r="N1856" s="2" t="n"/>
    </row>
    <row r="1857">
      <c r="D1857" s="2" t="n"/>
      <c r="E1857" s="3" t="n"/>
      <c r="F1857" s="3" t="n"/>
      <c r="G1857" s="3" t="n"/>
      <c r="H1857" s="4" t="n"/>
      <c r="L1857" s="2" t="n"/>
      <c r="N1857" s="2" t="n"/>
    </row>
    <row r="1858">
      <c r="D1858" s="2" t="n"/>
      <c r="E1858" s="3" t="n"/>
      <c r="F1858" s="3" t="n"/>
      <c r="G1858" s="3" t="n"/>
      <c r="H1858" s="4" t="n"/>
      <c r="L1858" s="2" t="n"/>
      <c r="N1858" s="2" t="n"/>
    </row>
    <row r="1859">
      <c r="D1859" s="2" t="n"/>
      <c r="E1859" s="3" t="n"/>
      <c r="F1859" s="3" t="n"/>
      <c r="G1859" s="3" t="n"/>
      <c r="H1859" s="4" t="n"/>
      <c r="L1859" s="2" t="n"/>
      <c r="N1859" s="2" t="n"/>
    </row>
    <row r="1860">
      <c r="D1860" s="2" t="n"/>
      <c r="E1860" s="3" t="n"/>
      <c r="F1860" s="3" t="n"/>
      <c r="G1860" s="3" t="n"/>
      <c r="H1860" s="4" t="n"/>
      <c r="L1860" s="2" t="n"/>
      <c r="N1860" s="2" t="n"/>
    </row>
    <row r="1861">
      <c r="D1861" s="2" t="n"/>
      <c r="E1861" s="3" t="n"/>
      <c r="F1861" s="3" t="n"/>
      <c r="G1861" s="3" t="n"/>
      <c r="H1861" s="4" t="n"/>
      <c r="L1861" s="2" t="n"/>
      <c r="N1861" s="2" t="n"/>
    </row>
    <row r="1862">
      <c r="D1862" s="2" t="n"/>
      <c r="E1862" s="3" t="n"/>
      <c r="F1862" s="3" t="n"/>
      <c r="G1862" s="3" t="n"/>
      <c r="H1862" s="4" t="n"/>
      <c r="L1862" s="2" t="n"/>
      <c r="N1862" s="2" t="n"/>
    </row>
    <row r="1863">
      <c r="D1863" s="2" t="n"/>
      <c r="E1863" s="3" t="n"/>
      <c r="F1863" s="3" t="n"/>
      <c r="G1863" s="3" t="n"/>
      <c r="H1863" s="4" t="n"/>
      <c r="L1863" s="2" t="n"/>
      <c r="N1863" s="2" t="n"/>
    </row>
    <row r="1864">
      <c r="D1864" s="2" t="n"/>
      <c r="E1864" s="3" t="n"/>
      <c r="F1864" s="3" t="n"/>
      <c r="G1864" s="3" t="n"/>
      <c r="H1864" s="4" t="n"/>
      <c r="L1864" s="2" t="n"/>
      <c r="N1864" s="2" t="n"/>
    </row>
    <row r="1865">
      <c r="D1865" s="2" t="n"/>
      <c r="E1865" s="3" t="n"/>
      <c r="F1865" s="3" t="n"/>
      <c r="G1865" s="3" t="n"/>
      <c r="H1865" s="4" t="n"/>
      <c r="L1865" s="2" t="n"/>
      <c r="N1865" s="2" t="n"/>
    </row>
    <row r="1866">
      <c r="D1866" s="2" t="n"/>
      <c r="E1866" s="3" t="n"/>
      <c r="F1866" s="3" t="n"/>
      <c r="G1866" s="3" t="n"/>
      <c r="H1866" s="4" t="n"/>
      <c r="L1866" s="2" t="n"/>
      <c r="N1866" s="2" t="n"/>
    </row>
    <row r="1867">
      <c r="D1867" s="2" t="n"/>
      <c r="E1867" s="3" t="n"/>
      <c r="F1867" s="3" t="n"/>
      <c r="G1867" s="3" t="n"/>
      <c r="H1867" s="4" t="n"/>
      <c r="L1867" s="2" t="n"/>
      <c r="N1867" s="2" t="n"/>
    </row>
    <row r="1868">
      <c r="D1868" s="2" t="n"/>
      <c r="E1868" s="3" t="n"/>
      <c r="F1868" s="3" t="n"/>
      <c r="G1868" s="3" t="n"/>
      <c r="H1868" s="4" t="n"/>
      <c r="L1868" s="2" t="n"/>
      <c r="N1868" s="2" t="n"/>
    </row>
    <row r="1869">
      <c r="D1869" s="2" t="n"/>
      <c r="E1869" s="3" t="n"/>
      <c r="F1869" s="3" t="n"/>
      <c r="G1869" s="3" t="n"/>
      <c r="H1869" s="4" t="n"/>
      <c r="L1869" s="2" t="n"/>
      <c r="N1869" s="2" t="n"/>
    </row>
    <row r="1870">
      <c r="D1870" s="2" t="n"/>
      <c r="E1870" s="3" t="n"/>
      <c r="F1870" s="3" t="n"/>
      <c r="G1870" s="3" t="n"/>
      <c r="H1870" s="4" t="n"/>
      <c r="L1870" s="2" t="n"/>
      <c r="N1870" s="2" t="n"/>
    </row>
    <row r="1871">
      <c r="D1871" s="2" t="n"/>
      <c r="E1871" s="3" t="n"/>
      <c r="F1871" s="3" t="n"/>
      <c r="G1871" s="3" t="n"/>
      <c r="H1871" s="4" t="n"/>
      <c r="L1871" s="2" t="n"/>
      <c r="N1871" s="2" t="n"/>
    </row>
    <row r="1872">
      <c r="D1872" s="2" t="n"/>
      <c r="E1872" s="3" t="n"/>
      <c r="F1872" s="3" t="n"/>
      <c r="G1872" s="3" t="n"/>
      <c r="H1872" s="4" t="n"/>
      <c r="L1872" s="2" t="n"/>
      <c r="N1872" s="2" t="n"/>
    </row>
    <row r="1873">
      <c r="D1873" s="2" t="n"/>
      <c r="E1873" s="3" t="n"/>
      <c r="F1873" s="3" t="n"/>
      <c r="G1873" s="3" t="n"/>
      <c r="H1873" s="4" t="n"/>
      <c r="L1873" s="2" t="n"/>
      <c r="N1873" s="2" t="n"/>
    </row>
    <row r="1874">
      <c r="D1874" s="2" t="n"/>
      <c r="E1874" s="3" t="n"/>
      <c r="F1874" s="3" t="n"/>
      <c r="G1874" s="3" t="n"/>
      <c r="H1874" s="4" t="n"/>
      <c r="L1874" s="2" t="n"/>
      <c r="N1874" s="2" t="n"/>
    </row>
    <row r="1875">
      <c r="D1875" s="2" t="n"/>
      <c r="E1875" s="3" t="n"/>
      <c r="F1875" s="3" t="n"/>
      <c r="G1875" s="3" t="n"/>
      <c r="H1875" s="4" t="n"/>
      <c r="L1875" s="2" t="n"/>
      <c r="N1875" s="2" t="n"/>
    </row>
    <row r="1876">
      <c r="D1876" s="2" t="n"/>
      <c r="E1876" s="3" t="n"/>
      <c r="F1876" s="3" t="n"/>
      <c r="G1876" s="3" t="n"/>
      <c r="H1876" s="4" t="n"/>
      <c r="L1876" s="2" t="n"/>
      <c r="N1876" s="2" t="n"/>
    </row>
    <row r="1877">
      <c r="D1877" s="2" t="n"/>
      <c r="E1877" s="3" t="n"/>
      <c r="F1877" s="3" t="n"/>
      <c r="G1877" s="3" t="n"/>
      <c r="H1877" s="4" t="n"/>
      <c r="L1877" s="2" t="n"/>
      <c r="N1877" s="2" t="n"/>
    </row>
    <row r="1878">
      <c r="D1878" s="2" t="n"/>
      <c r="E1878" s="3" t="n"/>
      <c r="F1878" s="3" t="n"/>
      <c r="G1878" s="3" t="n"/>
      <c r="H1878" s="4" t="n"/>
      <c r="L1878" s="2" t="n"/>
      <c r="N1878" s="2" t="n"/>
    </row>
    <row r="1879">
      <c r="D1879" s="2" t="n"/>
      <c r="E1879" s="3" t="n"/>
      <c r="F1879" s="3" t="n"/>
      <c r="G1879" s="3" t="n"/>
      <c r="H1879" s="4" t="n"/>
      <c r="L1879" s="2" t="n"/>
      <c r="N1879" s="2" t="n"/>
    </row>
    <row r="1880">
      <c r="D1880" s="2" t="n"/>
      <c r="E1880" s="3" t="n"/>
      <c r="F1880" s="3" t="n"/>
      <c r="G1880" s="3" t="n"/>
      <c r="H1880" s="4" t="n"/>
      <c r="L1880" s="2" t="n"/>
      <c r="N1880" s="2" t="n"/>
    </row>
    <row r="1881">
      <c r="D1881" s="2" t="n"/>
      <c r="E1881" s="3" t="n"/>
      <c r="F1881" s="3" t="n"/>
      <c r="G1881" s="3" t="n"/>
      <c r="H1881" s="4" t="n"/>
      <c r="L1881" s="2" t="n"/>
      <c r="N1881" s="2" t="n"/>
    </row>
    <row r="1882">
      <c r="D1882" s="2" t="n"/>
      <c r="E1882" s="3" t="n"/>
      <c r="F1882" s="3" t="n"/>
      <c r="G1882" s="3" t="n"/>
      <c r="H1882" s="4" t="n"/>
      <c r="L1882" s="2" t="n"/>
      <c r="N1882" s="2" t="n"/>
    </row>
    <row r="1883">
      <c r="D1883" s="2" t="n"/>
      <c r="E1883" s="3" t="n"/>
      <c r="F1883" s="3" t="n"/>
      <c r="G1883" s="3" t="n"/>
      <c r="H1883" s="4" t="n"/>
      <c r="L1883" s="2" t="n"/>
      <c r="N1883" s="2" t="n"/>
    </row>
    <row r="1884">
      <c r="D1884" s="2" t="n"/>
      <c r="E1884" s="3" t="n"/>
      <c r="F1884" s="3" t="n"/>
      <c r="G1884" s="3" t="n"/>
      <c r="H1884" s="4" t="n"/>
      <c r="L1884" s="2" t="n"/>
      <c r="N1884" s="2" t="n"/>
    </row>
    <row r="1885">
      <c r="D1885" s="2" t="n"/>
      <c r="E1885" s="3" t="n"/>
      <c r="F1885" s="3" t="n"/>
      <c r="G1885" s="3" t="n"/>
      <c r="H1885" s="4" t="n"/>
      <c r="L1885" s="2" t="n"/>
      <c r="N1885" s="2" t="n"/>
    </row>
    <row r="1886">
      <c r="D1886" s="2" t="n"/>
      <c r="E1886" s="3" t="n"/>
      <c r="F1886" s="3" t="n"/>
      <c r="G1886" s="3" t="n"/>
      <c r="H1886" s="4" t="n"/>
      <c r="L1886" s="2" t="n"/>
      <c r="N1886" s="2" t="n"/>
    </row>
    <row r="1887">
      <c r="D1887" s="2" t="n"/>
      <c r="E1887" s="3" t="n"/>
      <c r="F1887" s="3" t="n"/>
      <c r="G1887" s="3" t="n"/>
      <c r="H1887" s="4" t="n"/>
      <c r="L1887" s="2" t="n"/>
      <c r="N1887" s="2" t="n"/>
    </row>
    <row r="1888">
      <c r="D1888" s="2" t="n"/>
      <c r="E1888" s="3" t="n"/>
      <c r="F1888" s="3" t="n"/>
      <c r="G1888" s="3" t="n"/>
      <c r="H1888" s="4" t="n"/>
      <c r="L1888" s="2" t="n"/>
      <c r="N1888" s="2" t="n"/>
    </row>
    <row r="1889">
      <c r="D1889" s="2" t="n"/>
      <c r="E1889" s="3" t="n"/>
      <c r="F1889" s="3" t="n"/>
      <c r="G1889" s="3" t="n"/>
      <c r="H1889" s="4" t="n"/>
      <c r="L1889" s="2" t="n"/>
      <c r="N1889" s="2" t="n"/>
    </row>
    <row r="1890">
      <c r="D1890" s="2" t="n"/>
      <c r="E1890" s="3" t="n"/>
      <c r="F1890" s="3" t="n"/>
      <c r="G1890" s="3" t="n"/>
      <c r="H1890" s="4" t="n"/>
      <c r="L1890" s="2" t="n"/>
      <c r="N1890" s="2" t="n"/>
    </row>
    <row r="1891">
      <c r="D1891" s="2" t="n"/>
      <c r="E1891" s="3" t="n"/>
      <c r="F1891" s="3" t="n"/>
      <c r="G1891" s="3" t="n"/>
      <c r="H1891" s="4" t="n"/>
      <c r="L1891" s="2" t="n"/>
      <c r="N1891" s="2" t="n"/>
    </row>
    <row r="1892">
      <c r="D1892" s="2" t="n"/>
      <c r="E1892" s="3" t="n"/>
      <c r="F1892" s="3" t="n"/>
      <c r="G1892" s="3" t="n"/>
      <c r="H1892" s="4" t="n"/>
      <c r="L1892" s="2" t="n"/>
      <c r="N1892" s="2" t="n"/>
    </row>
    <row r="1893">
      <c r="D1893" s="2" t="n"/>
      <c r="E1893" s="3" t="n"/>
      <c r="F1893" s="3" t="n"/>
      <c r="G1893" s="3" t="n"/>
      <c r="H1893" s="4" t="n"/>
      <c r="L1893" s="2" t="n"/>
      <c r="N1893" s="2" t="n"/>
    </row>
    <row r="1894">
      <c r="D1894" s="2" t="n"/>
      <c r="E1894" s="3" t="n"/>
      <c r="F1894" s="3" t="n"/>
      <c r="G1894" s="3" t="n"/>
      <c r="H1894" s="4" t="n"/>
      <c r="L1894" s="2" t="n"/>
      <c r="N1894" s="2" t="n"/>
    </row>
    <row r="1895">
      <c r="D1895" s="2" t="n"/>
      <c r="E1895" s="3" t="n"/>
      <c r="F1895" s="3" t="n"/>
      <c r="G1895" s="3" t="n"/>
      <c r="H1895" s="4" t="n"/>
      <c r="L1895" s="2" t="n"/>
      <c r="N1895" s="2" t="n"/>
    </row>
    <row r="1896">
      <c r="D1896" s="2" t="n"/>
      <c r="E1896" s="3" t="n"/>
      <c r="F1896" s="3" t="n"/>
      <c r="G1896" s="3" t="n"/>
      <c r="H1896" s="4" t="n"/>
      <c r="L1896" s="2" t="n"/>
      <c r="N1896" s="2" t="n"/>
    </row>
    <row r="1897">
      <c r="D1897" s="2" t="n"/>
      <c r="E1897" s="3" t="n"/>
      <c r="F1897" s="3" t="n"/>
      <c r="G1897" s="3" t="n"/>
      <c r="H1897" s="4" t="n"/>
      <c r="L1897" s="2" t="n"/>
      <c r="N1897" s="2" t="n"/>
    </row>
    <row r="1898">
      <c r="D1898" s="2" t="n"/>
      <c r="E1898" s="3" t="n"/>
      <c r="F1898" s="3" t="n"/>
      <c r="G1898" s="3" t="n"/>
      <c r="H1898" s="4" t="n"/>
      <c r="L1898" s="2" t="n"/>
      <c r="N1898" s="2" t="n"/>
    </row>
    <row r="1899">
      <c r="D1899" s="2" t="n"/>
      <c r="E1899" s="3" t="n"/>
      <c r="F1899" s="3" t="n"/>
      <c r="G1899" s="3" t="n"/>
      <c r="H1899" s="4" t="n"/>
      <c r="L1899" s="2" t="n"/>
      <c r="N1899" s="2" t="n"/>
    </row>
    <row r="1900">
      <c r="D1900" s="2" t="n"/>
      <c r="E1900" s="3" t="n"/>
      <c r="F1900" s="3" t="n"/>
      <c r="G1900" s="3" t="n"/>
      <c r="H1900" s="4" t="n"/>
      <c r="L1900" s="2" t="n"/>
      <c r="N1900" s="2" t="n"/>
    </row>
    <row r="1901">
      <c r="D1901" s="2" t="n"/>
      <c r="E1901" s="3" t="n"/>
      <c r="F1901" s="3" t="n"/>
      <c r="G1901" s="3" t="n"/>
      <c r="H1901" s="4" t="n"/>
      <c r="L1901" s="2" t="n"/>
      <c r="N1901" s="2" t="n"/>
    </row>
    <row r="1902">
      <c r="D1902" s="2" t="n"/>
      <c r="E1902" s="3" t="n"/>
      <c r="F1902" s="3" t="n"/>
      <c r="G1902" s="3" t="n"/>
      <c r="H1902" s="4" t="n"/>
      <c r="L1902" s="2" t="n"/>
      <c r="N1902" s="2" t="n"/>
    </row>
    <row r="1903">
      <c r="D1903" s="2" t="n"/>
      <c r="E1903" s="3" t="n"/>
      <c r="F1903" s="3" t="n"/>
      <c r="G1903" s="3" t="n"/>
      <c r="H1903" s="4" t="n"/>
      <c r="L1903" s="2" t="n"/>
      <c r="N1903" s="2" t="n"/>
    </row>
    <row r="1904">
      <c r="D1904" s="2" t="n"/>
      <c r="E1904" s="3" t="n"/>
      <c r="F1904" s="3" t="n"/>
      <c r="G1904" s="3" t="n"/>
      <c r="H1904" s="4" t="n"/>
      <c r="L1904" s="2" t="n"/>
      <c r="N1904" s="2" t="n"/>
    </row>
    <row r="1905">
      <c r="D1905" s="2" t="n"/>
      <c r="E1905" s="3" t="n"/>
      <c r="F1905" s="3" t="n"/>
      <c r="G1905" s="3" t="n"/>
      <c r="H1905" s="4" t="n"/>
      <c r="L1905" s="2" t="n"/>
      <c r="N1905" s="2" t="n"/>
    </row>
    <row r="1906">
      <c r="D1906" s="2" t="n"/>
      <c r="E1906" s="3" t="n"/>
      <c r="F1906" s="3" t="n"/>
      <c r="G1906" s="3" t="n"/>
      <c r="H1906" s="4" t="n"/>
      <c r="L1906" s="2" t="n"/>
      <c r="N1906" s="2" t="n"/>
    </row>
    <row r="1907">
      <c r="D1907" s="2" t="n"/>
      <c r="E1907" s="3" t="n"/>
      <c r="F1907" s="3" t="n"/>
      <c r="G1907" s="3" t="n"/>
      <c r="H1907" s="4" t="n"/>
      <c r="L1907" s="2" t="n"/>
      <c r="N1907" s="2" t="n"/>
    </row>
    <row r="1908">
      <c r="D1908" s="2" t="n"/>
      <c r="E1908" s="3" t="n"/>
      <c r="F1908" s="3" t="n"/>
      <c r="G1908" s="3" t="n"/>
      <c r="H1908" s="4" t="n"/>
      <c r="L1908" s="2" t="n"/>
      <c r="N1908" s="2" t="n"/>
    </row>
    <row r="1909">
      <c r="D1909" s="2" t="n"/>
      <c r="E1909" s="3" t="n"/>
      <c r="F1909" s="3" t="n"/>
      <c r="G1909" s="3" t="n"/>
      <c r="H1909" s="4" t="n"/>
      <c r="L1909" s="2" t="n"/>
      <c r="N1909" s="2" t="n"/>
    </row>
    <row r="1910">
      <c r="D1910" s="2" t="n"/>
      <c r="E1910" s="3" t="n"/>
      <c r="F1910" s="3" t="n"/>
      <c r="G1910" s="3" t="n"/>
      <c r="H1910" s="4" t="n"/>
      <c r="L1910" s="2" t="n"/>
      <c r="N1910" s="2" t="n"/>
    </row>
    <row r="1911">
      <c r="D1911" s="2" t="n"/>
      <c r="E1911" s="3" t="n"/>
      <c r="F1911" s="3" t="n"/>
      <c r="G1911" s="3" t="n"/>
      <c r="H1911" s="4" t="n"/>
      <c r="L1911" s="2" t="n"/>
      <c r="N1911" s="2" t="n"/>
    </row>
    <row r="1912">
      <c r="D1912" s="2" t="n"/>
      <c r="E1912" s="3" t="n"/>
      <c r="F1912" s="3" t="n"/>
      <c r="G1912" s="3" t="n"/>
      <c r="H1912" s="4" t="n"/>
      <c r="L1912" s="2" t="n"/>
      <c r="N1912" s="2" t="n"/>
    </row>
    <row r="1913">
      <c r="D1913" s="2" t="n"/>
      <c r="E1913" s="3" t="n"/>
      <c r="F1913" s="3" t="n"/>
      <c r="G1913" s="3" t="n"/>
      <c r="H1913" s="4" t="n"/>
      <c r="L1913" s="2" t="n"/>
      <c r="N1913" s="2" t="n"/>
    </row>
    <row r="1914">
      <c r="D1914" s="2" t="n"/>
      <c r="E1914" s="3" t="n"/>
      <c r="F1914" s="3" t="n"/>
      <c r="G1914" s="3" t="n"/>
      <c r="H1914" s="4" t="n"/>
      <c r="L1914" s="2" t="n"/>
      <c r="N1914" s="2" t="n"/>
    </row>
    <row r="1915">
      <c r="D1915" s="2" t="n"/>
      <c r="E1915" s="3" t="n"/>
      <c r="F1915" s="3" t="n"/>
      <c r="G1915" s="3" t="n"/>
      <c r="H1915" s="4" t="n"/>
      <c r="L1915" s="2" t="n"/>
      <c r="N1915" s="2" t="n"/>
    </row>
    <row r="1916">
      <c r="D1916" s="2" t="n"/>
      <c r="E1916" s="3" t="n"/>
      <c r="F1916" s="3" t="n"/>
      <c r="G1916" s="3" t="n"/>
      <c r="H1916" s="4" t="n"/>
      <c r="L1916" s="2" t="n"/>
      <c r="N1916" s="2" t="n"/>
    </row>
    <row r="1917">
      <c r="D1917" s="2" t="n"/>
      <c r="E1917" s="3" t="n"/>
      <c r="F1917" s="3" t="n"/>
      <c r="G1917" s="3" t="n"/>
      <c r="H1917" s="4" t="n"/>
      <c r="L1917" s="2" t="n"/>
      <c r="N1917" s="2" t="n"/>
    </row>
    <row r="1918">
      <c r="D1918" s="2" t="n"/>
      <c r="E1918" s="3" t="n"/>
      <c r="F1918" s="3" t="n"/>
      <c r="G1918" s="3" t="n"/>
      <c r="H1918" s="4" t="n"/>
      <c r="L1918" s="2" t="n"/>
      <c r="N1918" s="2" t="n"/>
    </row>
    <row r="1919">
      <c r="D1919" s="2" t="n"/>
      <c r="E1919" s="3" t="n"/>
      <c r="F1919" s="3" t="n"/>
      <c r="G1919" s="3" t="n"/>
      <c r="H1919" s="4" t="n"/>
      <c r="L1919" s="2" t="n"/>
      <c r="N1919" s="2" t="n"/>
    </row>
    <row r="1920">
      <c r="D1920" s="2" t="n"/>
      <c r="E1920" s="3" t="n"/>
      <c r="F1920" s="3" t="n"/>
      <c r="G1920" s="3" t="n"/>
      <c r="H1920" s="4" t="n"/>
      <c r="L1920" s="2" t="n"/>
      <c r="N1920" s="2" t="n"/>
    </row>
    <row r="1921">
      <c r="D1921" s="2" t="n"/>
      <c r="E1921" s="3" t="n"/>
      <c r="F1921" s="3" t="n"/>
      <c r="G1921" s="3" t="n"/>
      <c r="H1921" s="4" t="n"/>
      <c r="L1921" s="2" t="n"/>
      <c r="N1921" s="2" t="n"/>
    </row>
    <row r="1922">
      <c r="D1922" s="2" t="n"/>
      <c r="E1922" s="3" t="n"/>
      <c r="F1922" s="3" t="n"/>
      <c r="G1922" s="3" t="n"/>
      <c r="H1922" s="4" t="n"/>
      <c r="L1922" s="2" t="n"/>
      <c r="N1922" s="2" t="n"/>
    </row>
    <row r="1923">
      <c r="D1923" s="2" t="n"/>
      <c r="E1923" s="3" t="n"/>
      <c r="F1923" s="3" t="n"/>
      <c r="G1923" s="3" t="n"/>
      <c r="H1923" s="4" t="n"/>
      <c r="L1923" s="2" t="n"/>
      <c r="N1923" s="2" t="n"/>
    </row>
    <row r="1924">
      <c r="D1924" s="2" t="n"/>
      <c r="E1924" s="3" t="n"/>
      <c r="F1924" s="3" t="n"/>
      <c r="G1924" s="3" t="n"/>
      <c r="H1924" s="4" t="n"/>
      <c r="L1924" s="2" t="n"/>
      <c r="N1924" s="2" t="n"/>
    </row>
    <row r="1925">
      <c r="D1925" s="2" t="n"/>
      <c r="E1925" s="3" t="n"/>
      <c r="F1925" s="3" t="n"/>
      <c r="G1925" s="3" t="n"/>
      <c r="H1925" s="4" t="n"/>
      <c r="L1925" s="2" t="n"/>
      <c r="N1925" s="2" t="n"/>
    </row>
    <row r="1926">
      <c r="D1926" s="2" t="n"/>
      <c r="E1926" s="3" t="n"/>
      <c r="F1926" s="3" t="n"/>
      <c r="G1926" s="3" t="n"/>
      <c r="H1926" s="4" t="n"/>
      <c r="L1926" s="2" t="n"/>
      <c r="N1926" s="2" t="n"/>
    </row>
    <row r="1927">
      <c r="D1927" s="2" t="n"/>
      <c r="E1927" s="3" t="n"/>
      <c r="F1927" s="3" t="n"/>
      <c r="G1927" s="3" t="n"/>
      <c r="H1927" s="4" t="n"/>
      <c r="L1927" s="2" t="n"/>
      <c r="N1927" s="2" t="n"/>
    </row>
    <row r="1928">
      <c r="D1928" s="2" t="n"/>
      <c r="E1928" s="3" t="n"/>
      <c r="F1928" s="3" t="n"/>
      <c r="G1928" s="3" t="n"/>
      <c r="H1928" s="4" t="n"/>
      <c r="L1928" s="2" t="n"/>
      <c r="N1928" s="2" t="n"/>
    </row>
    <row r="1929">
      <c r="D1929" s="2" t="n"/>
      <c r="E1929" s="3" t="n"/>
      <c r="F1929" s="3" t="n"/>
      <c r="G1929" s="3" t="n"/>
      <c r="H1929" s="4" t="n"/>
      <c r="L1929" s="2" t="n"/>
      <c r="N1929" s="2" t="n"/>
    </row>
    <row r="1930">
      <c r="D1930" s="2" t="n"/>
      <c r="E1930" s="3" t="n"/>
      <c r="F1930" s="3" t="n"/>
      <c r="G1930" s="3" t="n"/>
      <c r="H1930" s="4" t="n"/>
      <c r="L1930" s="2" t="n"/>
      <c r="N1930" s="2" t="n"/>
    </row>
    <row r="1931">
      <c r="D1931" s="2" t="n"/>
      <c r="E1931" s="3" t="n"/>
      <c r="F1931" s="3" t="n"/>
      <c r="G1931" s="3" t="n"/>
      <c r="H1931" s="4" t="n"/>
      <c r="L1931" s="2" t="n"/>
      <c r="N1931" s="2" t="n"/>
    </row>
    <row r="1932">
      <c r="D1932" s="2" t="n"/>
      <c r="E1932" s="3" t="n"/>
      <c r="F1932" s="3" t="n"/>
      <c r="G1932" s="3" t="n"/>
      <c r="H1932" s="4" t="n"/>
      <c r="L1932" s="2" t="n"/>
      <c r="N1932" s="2" t="n"/>
    </row>
    <row r="1933">
      <c r="D1933" s="2" t="n"/>
      <c r="E1933" s="3" t="n"/>
      <c r="F1933" s="3" t="n"/>
      <c r="G1933" s="3" t="n"/>
      <c r="H1933" s="4" t="n"/>
      <c r="L1933" s="2" t="n"/>
      <c r="N1933" s="2" t="n"/>
    </row>
    <row r="1934">
      <c r="D1934" s="2" t="n"/>
      <c r="E1934" s="3" t="n"/>
      <c r="F1934" s="3" t="n"/>
      <c r="G1934" s="3" t="n"/>
      <c r="H1934" s="4" t="n"/>
      <c r="L1934" s="2" t="n"/>
      <c r="N1934" s="2" t="n"/>
    </row>
    <row r="1935">
      <c r="D1935" s="2" t="n"/>
      <c r="E1935" s="3" t="n"/>
      <c r="F1935" s="3" t="n"/>
      <c r="G1935" s="3" t="n"/>
      <c r="H1935" s="4" t="n"/>
      <c r="L1935" s="2" t="n"/>
      <c r="N1935" s="2" t="n"/>
    </row>
    <row r="1936">
      <c r="D1936" s="2" t="n"/>
      <c r="E1936" s="3" t="n"/>
      <c r="F1936" s="3" t="n"/>
      <c r="G1936" s="3" t="n"/>
      <c r="H1936" s="4" t="n"/>
      <c r="L1936" s="2" t="n"/>
      <c r="N1936" s="2" t="n"/>
    </row>
    <row r="1937">
      <c r="D1937" s="2" t="n"/>
      <c r="E1937" s="3" t="n"/>
      <c r="F1937" s="3" t="n"/>
      <c r="G1937" s="3" t="n"/>
      <c r="H1937" s="4" t="n"/>
      <c r="L1937" s="2" t="n"/>
      <c r="N1937" s="2" t="n"/>
    </row>
    <row r="1938">
      <c r="D1938" s="2" t="n"/>
      <c r="E1938" s="3" t="n"/>
      <c r="F1938" s="3" t="n"/>
      <c r="G1938" s="3" t="n"/>
      <c r="H1938" s="4" t="n"/>
      <c r="L1938" s="2" t="n"/>
      <c r="N1938" s="2" t="n"/>
    </row>
    <row r="1939">
      <c r="D1939" s="2" t="n"/>
      <c r="E1939" s="3" t="n"/>
      <c r="F1939" s="3" t="n"/>
      <c r="G1939" s="3" t="n"/>
      <c r="H1939" s="4" t="n"/>
      <c r="L1939" s="2" t="n"/>
      <c r="N1939" s="2" t="n"/>
    </row>
    <row r="1940">
      <c r="D1940" s="2" t="n"/>
      <c r="E1940" s="3" t="n"/>
      <c r="F1940" s="3" t="n"/>
      <c r="G1940" s="3" t="n"/>
      <c r="H1940" s="4" t="n"/>
      <c r="L1940" s="2" t="n"/>
      <c r="N1940" s="2" t="n"/>
    </row>
    <row r="1941">
      <c r="D1941" s="2" t="n"/>
      <c r="E1941" s="3" t="n"/>
      <c r="F1941" s="3" t="n"/>
      <c r="G1941" s="3" t="n"/>
      <c r="H1941" s="4" t="n"/>
      <c r="L1941" s="2" t="n"/>
      <c r="N1941" s="2" t="n"/>
    </row>
    <row r="1942">
      <c r="D1942" s="2" t="n"/>
      <c r="E1942" s="3" t="n"/>
      <c r="F1942" s="3" t="n"/>
      <c r="G1942" s="3" t="n"/>
      <c r="H1942" s="4" t="n"/>
      <c r="L1942" s="2" t="n"/>
      <c r="N1942" s="2" t="n"/>
    </row>
    <row r="1943">
      <c r="D1943" s="2" t="n"/>
      <c r="E1943" s="3" t="n"/>
      <c r="F1943" s="3" t="n"/>
      <c r="G1943" s="3" t="n"/>
      <c r="H1943" s="4" t="n"/>
      <c r="L1943" s="2" t="n"/>
      <c r="N1943" s="2" t="n"/>
    </row>
    <row r="1944">
      <c r="D1944" s="2" t="n"/>
      <c r="E1944" s="3" t="n"/>
      <c r="F1944" s="3" t="n"/>
      <c r="G1944" s="3" t="n"/>
      <c r="H1944" s="4" t="n"/>
      <c r="L1944" s="2" t="n"/>
      <c r="N1944" s="2" t="n"/>
    </row>
    <row r="1945">
      <c r="D1945" s="2" t="n"/>
      <c r="E1945" s="3" t="n"/>
      <c r="F1945" s="3" t="n"/>
      <c r="G1945" s="3" t="n"/>
      <c r="H1945" s="4" t="n"/>
      <c r="L1945" s="2" t="n"/>
      <c r="N1945" s="2" t="n"/>
    </row>
    <row r="1946">
      <c r="D1946" s="2" t="n"/>
      <c r="E1946" s="3" t="n"/>
      <c r="F1946" s="3" t="n"/>
      <c r="G1946" s="3" t="n"/>
      <c r="H1946" s="4" t="n"/>
      <c r="L1946" s="2" t="n"/>
      <c r="N1946" s="2" t="n"/>
    </row>
    <row r="1947">
      <c r="D1947" s="2" t="n"/>
      <c r="E1947" s="3" t="n"/>
      <c r="F1947" s="3" t="n"/>
      <c r="G1947" s="3" t="n"/>
      <c r="H1947" s="4" t="n"/>
      <c r="L1947" s="2" t="n"/>
      <c r="N1947" s="2" t="n"/>
    </row>
    <row r="1948">
      <c r="D1948" s="2" t="n"/>
      <c r="E1948" s="3" t="n"/>
      <c r="F1948" s="3" t="n"/>
      <c r="G1948" s="3" t="n"/>
      <c r="H1948" s="4" t="n"/>
      <c r="L1948" s="2" t="n"/>
      <c r="N1948" s="2" t="n"/>
    </row>
    <row r="1949">
      <c r="D1949" s="2" t="n"/>
      <c r="E1949" s="3" t="n"/>
      <c r="F1949" s="3" t="n"/>
      <c r="G1949" s="3" t="n"/>
      <c r="H1949" s="4" t="n"/>
      <c r="L1949" s="2" t="n"/>
      <c r="N1949" s="2" t="n"/>
    </row>
    <row r="1950">
      <c r="D1950" s="2" t="n"/>
      <c r="E1950" s="3" t="n"/>
      <c r="F1950" s="3" t="n"/>
      <c r="G1950" s="3" t="n"/>
      <c r="H1950" s="4" t="n"/>
      <c r="L1950" s="2" t="n"/>
      <c r="N1950" s="2" t="n"/>
    </row>
    <row r="1951">
      <c r="D1951" s="2" t="n"/>
      <c r="E1951" s="3" t="n"/>
      <c r="F1951" s="3" t="n"/>
      <c r="G1951" s="3" t="n"/>
      <c r="H1951" s="4" t="n"/>
      <c r="L1951" s="2" t="n"/>
      <c r="N1951" s="2" t="n"/>
    </row>
    <row r="1952">
      <c r="D1952" s="2" t="n"/>
      <c r="E1952" s="3" t="n"/>
      <c r="F1952" s="3" t="n"/>
      <c r="G1952" s="3" t="n"/>
      <c r="H1952" s="4" t="n"/>
      <c r="L1952" s="2" t="n"/>
      <c r="N1952" s="2" t="n"/>
    </row>
    <row r="1953">
      <c r="D1953" s="2" t="n"/>
      <c r="E1953" s="3" t="n"/>
      <c r="F1953" s="3" t="n"/>
      <c r="G1953" s="3" t="n"/>
      <c r="H1953" s="4" t="n"/>
      <c r="L1953" s="2" t="n"/>
      <c r="N1953" s="2" t="n"/>
    </row>
    <row r="1954">
      <c r="D1954" s="2" t="n"/>
      <c r="E1954" s="3" t="n"/>
      <c r="F1954" s="3" t="n"/>
      <c r="G1954" s="3" t="n"/>
      <c r="H1954" s="4" t="n"/>
      <c r="L1954" s="2" t="n"/>
      <c r="N1954" s="2" t="n"/>
    </row>
    <row r="1955">
      <c r="D1955" s="2" t="n"/>
      <c r="E1955" s="3" t="n"/>
      <c r="F1955" s="3" t="n"/>
      <c r="G1955" s="3" t="n"/>
      <c r="H1955" s="4" t="n"/>
      <c r="L1955" s="2" t="n"/>
      <c r="N1955" s="2" t="n"/>
    </row>
    <row r="1956">
      <c r="D1956" s="2" t="n"/>
      <c r="E1956" s="3" t="n"/>
      <c r="F1956" s="3" t="n"/>
      <c r="G1956" s="3" t="n"/>
      <c r="H1956" s="4" t="n"/>
      <c r="L1956" s="2" t="n"/>
      <c r="N1956" s="2" t="n"/>
    </row>
    <row r="1957">
      <c r="D1957" s="2" t="n"/>
      <c r="E1957" s="3" t="n"/>
      <c r="F1957" s="3" t="n"/>
      <c r="G1957" s="3" t="n"/>
      <c r="H1957" s="4" t="n"/>
      <c r="L1957" s="2" t="n"/>
      <c r="N1957" s="2" t="n"/>
    </row>
    <row r="1958">
      <c r="D1958" s="2" t="n"/>
      <c r="E1958" s="3" t="n"/>
      <c r="F1958" s="3" t="n"/>
      <c r="G1958" s="3" t="n"/>
      <c r="H1958" s="4" t="n"/>
      <c r="L1958" s="2" t="n"/>
      <c r="N1958" s="2" t="n"/>
    </row>
    <row r="1959">
      <c r="D1959" s="2" t="n"/>
      <c r="E1959" s="3" t="n"/>
      <c r="F1959" s="3" t="n"/>
      <c r="G1959" s="3" t="n"/>
      <c r="H1959" s="4" t="n"/>
      <c r="L1959" s="2" t="n"/>
      <c r="N1959" s="2" t="n"/>
    </row>
    <row r="1960">
      <c r="D1960" s="2" t="n"/>
      <c r="E1960" s="3" t="n"/>
      <c r="F1960" s="3" t="n"/>
      <c r="G1960" s="3" t="n"/>
      <c r="H1960" s="4" t="n"/>
      <c r="L1960" s="2" t="n"/>
      <c r="N1960" s="2" t="n"/>
    </row>
    <row r="1961">
      <c r="D1961" s="2" t="n"/>
      <c r="E1961" s="3" t="n"/>
      <c r="F1961" s="3" t="n"/>
      <c r="G1961" s="3" t="n"/>
      <c r="H1961" s="4" t="n"/>
      <c r="L1961" s="2" t="n"/>
      <c r="N1961" s="2" t="n"/>
    </row>
    <row r="1962">
      <c r="D1962" s="2" t="n"/>
      <c r="E1962" s="3" t="n"/>
      <c r="F1962" s="3" t="n"/>
      <c r="G1962" s="3" t="n"/>
      <c r="H1962" s="4" t="n"/>
      <c r="L1962" s="2" t="n"/>
      <c r="N1962" s="2" t="n"/>
    </row>
    <row r="1963">
      <c r="D1963" s="2" t="n"/>
      <c r="E1963" s="3" t="n"/>
      <c r="F1963" s="3" t="n"/>
      <c r="G1963" s="3" t="n"/>
      <c r="H1963" s="4" t="n"/>
      <c r="L1963" s="2" t="n"/>
      <c r="N1963" s="2" t="n"/>
    </row>
    <row r="1964">
      <c r="D1964" s="2" t="n"/>
      <c r="E1964" s="3" t="n"/>
      <c r="F1964" s="3" t="n"/>
      <c r="G1964" s="3" t="n"/>
      <c r="H1964" s="4" t="n"/>
      <c r="L1964" s="2" t="n"/>
      <c r="N1964" s="2" t="n"/>
    </row>
    <row r="1965">
      <c r="D1965" s="2" t="n"/>
      <c r="E1965" s="3" t="n"/>
      <c r="F1965" s="3" t="n"/>
      <c r="G1965" s="3" t="n"/>
      <c r="H1965" s="4" t="n"/>
      <c r="L1965" s="2" t="n"/>
      <c r="N1965" s="2" t="n"/>
    </row>
    <row r="1966">
      <c r="D1966" s="2" t="n"/>
      <c r="E1966" s="3" t="n"/>
      <c r="F1966" s="3" t="n"/>
      <c r="G1966" s="3" t="n"/>
      <c r="H1966" s="4" t="n"/>
      <c r="L1966" s="2" t="n"/>
      <c r="N1966" s="2" t="n"/>
    </row>
    <row r="1967">
      <c r="D1967" s="2" t="n"/>
      <c r="E1967" s="3" t="n"/>
      <c r="F1967" s="3" t="n"/>
      <c r="G1967" s="3" t="n"/>
      <c r="H1967" s="4" t="n"/>
      <c r="L1967" s="2" t="n"/>
      <c r="N1967" s="2" t="n"/>
    </row>
    <row r="1968">
      <c r="D1968" s="2" t="n"/>
      <c r="E1968" s="3" t="n"/>
      <c r="F1968" s="3" t="n"/>
      <c r="G1968" s="3" t="n"/>
      <c r="H1968" s="4" t="n"/>
      <c r="L1968" s="2" t="n"/>
      <c r="N1968" s="2" t="n"/>
    </row>
    <row r="1969">
      <c r="D1969" s="2" t="n"/>
      <c r="E1969" s="3" t="n"/>
      <c r="F1969" s="3" t="n"/>
      <c r="G1969" s="3" t="n"/>
      <c r="H1969" s="4" t="n"/>
      <c r="L1969" s="2" t="n"/>
      <c r="N1969" s="2" t="n"/>
    </row>
    <row r="1970">
      <c r="D1970" s="2" t="n"/>
      <c r="E1970" s="3" t="n"/>
      <c r="F1970" s="3" t="n"/>
      <c r="G1970" s="3" t="n"/>
      <c r="H1970" s="4" t="n"/>
      <c r="L1970" s="2" t="n"/>
      <c r="N1970" s="2" t="n"/>
    </row>
    <row r="1971">
      <c r="D1971" s="2" t="n"/>
      <c r="E1971" s="3" t="n"/>
      <c r="F1971" s="3" t="n"/>
      <c r="G1971" s="3" t="n"/>
      <c r="H1971" s="4" t="n"/>
      <c r="L1971" s="2" t="n"/>
      <c r="N1971" s="2" t="n"/>
    </row>
    <row r="1972">
      <c r="D1972" s="2" t="n"/>
      <c r="E1972" s="3" t="n"/>
      <c r="F1972" s="3" t="n"/>
      <c r="G1972" s="3" t="n"/>
      <c r="H1972" s="4" t="n"/>
      <c r="L1972" s="2" t="n"/>
      <c r="N1972" s="2" t="n"/>
    </row>
    <row r="1973">
      <c r="D1973" s="2" t="n"/>
      <c r="E1973" s="3" t="n"/>
      <c r="F1973" s="3" t="n"/>
      <c r="G1973" s="3" t="n"/>
      <c r="H1973" s="4" t="n"/>
      <c r="L1973" s="2" t="n"/>
      <c r="N1973" s="2" t="n"/>
    </row>
    <row r="1974">
      <c r="D1974" s="2" t="n"/>
      <c r="E1974" s="3" t="n"/>
      <c r="F1974" s="3" t="n"/>
      <c r="G1974" s="3" t="n"/>
      <c r="H1974" s="4" t="n"/>
      <c r="L1974" s="2" t="n"/>
      <c r="N1974" s="2" t="n"/>
    </row>
    <row r="1975">
      <c r="D1975" s="2" t="n"/>
      <c r="E1975" s="3" t="n"/>
      <c r="F1975" s="3" t="n"/>
      <c r="G1975" s="3" t="n"/>
      <c r="H1975" s="4" t="n"/>
      <c r="L1975" s="2" t="n"/>
      <c r="N1975" s="2" t="n"/>
    </row>
    <row r="1976">
      <c r="D1976" s="2" t="n"/>
      <c r="E1976" s="3" t="n"/>
      <c r="F1976" s="3" t="n"/>
      <c r="G1976" s="3" t="n"/>
      <c r="H1976" s="4" t="n"/>
      <c r="L1976" s="2" t="n"/>
      <c r="N1976" s="2" t="n"/>
    </row>
    <row r="1977">
      <c r="D1977" s="2" t="n"/>
      <c r="E1977" s="3" t="n"/>
      <c r="F1977" s="3" t="n"/>
      <c r="G1977" s="3" t="n"/>
      <c r="H1977" s="4" t="n"/>
      <c r="L1977" s="2" t="n"/>
      <c r="N1977" s="2" t="n"/>
    </row>
    <row r="1978">
      <c r="D1978" s="2" t="n"/>
      <c r="E1978" s="3" t="n"/>
      <c r="F1978" s="3" t="n"/>
      <c r="G1978" s="3" t="n"/>
      <c r="H1978" s="4" t="n"/>
      <c r="L1978" s="2" t="n"/>
      <c r="N1978" s="2" t="n"/>
    </row>
    <row r="1979">
      <c r="D1979" s="2" t="n"/>
      <c r="E1979" s="3" t="n"/>
      <c r="F1979" s="3" t="n"/>
      <c r="G1979" s="3" t="n"/>
      <c r="H1979" s="4" t="n"/>
      <c r="L1979" s="2" t="n"/>
      <c r="N1979" s="2" t="n"/>
    </row>
    <row r="1980">
      <c r="D1980" s="2" t="n"/>
      <c r="E1980" s="3" t="n"/>
      <c r="F1980" s="3" t="n"/>
      <c r="G1980" s="3" t="n"/>
      <c r="H1980" s="4" t="n"/>
      <c r="L1980" s="2" t="n"/>
      <c r="N1980" s="2" t="n"/>
    </row>
    <row r="1981">
      <c r="D1981" s="2" t="n"/>
      <c r="E1981" s="3" t="n"/>
      <c r="F1981" s="3" t="n"/>
      <c r="G1981" s="3" t="n"/>
      <c r="H1981" s="4" t="n"/>
      <c r="L1981" s="2" t="n"/>
      <c r="N1981" s="2" t="n"/>
    </row>
    <row r="1982">
      <c r="D1982" s="2" t="n"/>
      <c r="E1982" s="3" t="n"/>
      <c r="F1982" s="3" t="n"/>
      <c r="G1982" s="3" t="n"/>
      <c r="H1982" s="4" t="n"/>
      <c r="L1982" s="2" t="n"/>
      <c r="N1982" s="2" t="n"/>
    </row>
    <row r="1983">
      <c r="D1983" s="2" t="n"/>
      <c r="E1983" s="3" t="n"/>
      <c r="F1983" s="3" t="n"/>
      <c r="G1983" s="3" t="n"/>
      <c r="H1983" s="4" t="n"/>
      <c r="L1983" s="2" t="n"/>
      <c r="N1983" s="2" t="n"/>
    </row>
    <row r="1984">
      <c r="D1984" s="2" t="n"/>
      <c r="E1984" s="3" t="n"/>
      <c r="F1984" s="3" t="n"/>
      <c r="G1984" s="3" t="n"/>
      <c r="H1984" s="4" t="n"/>
      <c r="L1984" s="2" t="n"/>
      <c r="N1984" s="2" t="n"/>
    </row>
    <row r="1985">
      <c r="D1985" s="2" t="n"/>
      <c r="E1985" s="3" t="n"/>
      <c r="F1985" s="3" t="n"/>
      <c r="G1985" s="3" t="n"/>
      <c r="H1985" s="4" t="n"/>
      <c r="L1985" s="2" t="n"/>
      <c r="N1985" s="2" t="n"/>
    </row>
    <row r="1986">
      <c r="D1986" s="2" t="n"/>
      <c r="E1986" s="3" t="n"/>
      <c r="F1986" s="3" t="n"/>
      <c r="G1986" s="3" t="n"/>
      <c r="H1986" s="4" t="n"/>
      <c r="L1986" s="2" t="n"/>
      <c r="N1986" s="2" t="n"/>
    </row>
    <row r="1987">
      <c r="D1987" s="2" t="n"/>
      <c r="E1987" s="3" t="n"/>
      <c r="F1987" s="3" t="n"/>
      <c r="G1987" s="3" t="n"/>
      <c r="H1987" s="4" t="n"/>
      <c r="L1987" s="2" t="n"/>
      <c r="N1987" s="2" t="n"/>
    </row>
    <row r="1988">
      <c r="D1988" s="2" t="n"/>
      <c r="E1988" s="3" t="n"/>
      <c r="F1988" s="3" t="n"/>
      <c r="G1988" s="3" t="n"/>
      <c r="H1988" s="4" t="n"/>
      <c r="L1988" s="2" t="n"/>
      <c r="N1988" s="2" t="n"/>
    </row>
    <row r="1989">
      <c r="D1989" s="2" t="n"/>
      <c r="E1989" s="3" t="n"/>
      <c r="F1989" s="3" t="n"/>
      <c r="G1989" s="3" t="n"/>
      <c r="H1989" s="4" t="n"/>
      <c r="L1989" s="2" t="n"/>
      <c r="N1989" s="2" t="n"/>
    </row>
    <row r="1990">
      <c r="D1990" s="2" t="n"/>
      <c r="E1990" s="3" t="n"/>
      <c r="F1990" s="3" t="n"/>
      <c r="G1990" s="3" t="n"/>
      <c r="H1990" s="4" t="n"/>
      <c r="L1990" s="2" t="n"/>
      <c r="N1990" s="2" t="n"/>
    </row>
    <row r="1991">
      <c r="D1991" s="2" t="n"/>
      <c r="E1991" s="3" t="n"/>
      <c r="F1991" s="3" t="n"/>
      <c r="G1991" s="3" t="n"/>
      <c r="H1991" s="4" t="n"/>
      <c r="L1991" s="2" t="n"/>
      <c r="N1991" s="2" t="n"/>
    </row>
    <row r="1992">
      <c r="D1992" s="2" t="n"/>
      <c r="E1992" s="3" t="n"/>
      <c r="F1992" s="3" t="n"/>
      <c r="G1992" s="3" t="n"/>
      <c r="H1992" s="4" t="n"/>
      <c r="L1992" s="2" t="n"/>
      <c r="N1992" s="2" t="n"/>
    </row>
    <row r="1993">
      <c r="D1993" s="2" t="n"/>
      <c r="E1993" s="3" t="n"/>
      <c r="F1993" s="3" t="n"/>
      <c r="G1993" s="3" t="n"/>
      <c r="H1993" s="4" t="n"/>
      <c r="L1993" s="2" t="n"/>
      <c r="N1993" s="2" t="n"/>
    </row>
    <row r="1994">
      <c r="D1994" s="2" t="n"/>
      <c r="E1994" s="3" t="n"/>
      <c r="F1994" s="3" t="n"/>
      <c r="G1994" s="3" t="n"/>
      <c r="H1994" s="4" t="n"/>
      <c r="L1994" s="2" t="n"/>
      <c r="N1994" s="2" t="n"/>
    </row>
    <row r="1995">
      <c r="D1995" s="2" t="n"/>
      <c r="E1995" s="3" t="n"/>
      <c r="F1995" s="3" t="n"/>
      <c r="G1995" s="3" t="n"/>
      <c r="H1995" s="4" t="n"/>
      <c r="L1995" s="2" t="n"/>
      <c r="N1995" s="2" t="n"/>
    </row>
    <row r="1996">
      <c r="D1996" s="2" t="n"/>
      <c r="E1996" s="3" t="n"/>
      <c r="F1996" s="3" t="n"/>
      <c r="G1996" s="3" t="n"/>
      <c r="H1996" s="4" t="n"/>
      <c r="L1996" s="2" t="n"/>
      <c r="N1996" s="2" t="n"/>
    </row>
    <row r="1997">
      <c r="D1997" s="2" t="n"/>
      <c r="E1997" s="3" t="n"/>
      <c r="F1997" s="3" t="n"/>
      <c r="G1997" s="3" t="n"/>
      <c r="H1997" s="4" t="n"/>
      <c r="L1997" s="2" t="n"/>
      <c r="N1997" s="2" t="n"/>
    </row>
    <row r="1998">
      <c r="D1998" s="2" t="n"/>
      <c r="E1998" s="3" t="n"/>
      <c r="F1998" s="3" t="n"/>
      <c r="G1998" s="3" t="n"/>
      <c r="H1998" s="4" t="n"/>
      <c r="L1998" s="2" t="n"/>
      <c r="N1998" s="2" t="n"/>
    </row>
    <row r="1999">
      <c r="D1999" s="2" t="n"/>
      <c r="E1999" s="3" t="n"/>
      <c r="F1999" s="3" t="n"/>
      <c r="G1999" s="3" t="n"/>
      <c r="H1999" s="4" t="n"/>
      <c r="L1999" s="2" t="n"/>
      <c r="N1999" s="2" t="n"/>
    </row>
    <row r="2000">
      <c r="D2000" s="2" t="n"/>
      <c r="E2000" s="3" t="n"/>
      <c r="F2000" s="3" t="n"/>
      <c r="G2000" s="3" t="n"/>
      <c r="H2000" s="4" t="n"/>
      <c r="L2000" s="2" t="n"/>
      <c r="N2000" s="2" t="n"/>
    </row>
  </sheetData>
  <dataValidations count="3">
    <dataValidation sqref="K2:K2000" showDropDown="0" showInputMessage="0" showErrorMessage="1" allowBlank="1" errorTitle="Statut invalide" error="Choisissez : Payé | En attente | En retard | Annulé" type="list">
      <formula1>"Payé,En attente,En retard,Annulé"</formula1>
    </dataValidation>
    <dataValidation sqref="H2:H2000" showDropDown="0" showInputMessage="0" showErrorMessage="1" allowBlank="1" errorTitle="Taux invalide" error="Taux TVA français : 0 | 5.5 | 10 | 20" type="list">
      <formula1>"0,5.5,10,20"</formula1>
    </dataValidation>
    <dataValidation sqref="M2:M2000" showDropDown="0" showInputMessage="0" showErrorMessage="0" allowBlank="1" type="list">
      <formula1>"Manuel,Automatique"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2" customWidth="1" min="3" max="3"/>
    <col width="22" customWidth="1" min="4" max="4"/>
  </cols>
  <sheetData>
    <row r="1" ht="48" customHeight="1">
      <c r="A1" s="5" t="inlineStr">
        <is>
          <t>IMPORTATION DE FACTURE PDF</t>
        </is>
      </c>
      <c r="B1" s="6" t="n"/>
      <c r="C1" s="6" t="n"/>
      <c r="D1" s="7" t="n"/>
    </row>
    <row r="3" ht="30" customHeight="1">
      <c r="A3" s="8" t="inlineStr">
        <is>
          <t>1.  SÉLECTIONNER LE FICHIER PDF</t>
        </is>
      </c>
      <c r="B3" s="6" t="n"/>
      <c r="C3" s="6" t="n"/>
      <c r="D3" s="7" t="n"/>
    </row>
    <row r="4" ht="8" customHeight="1"/>
    <row r="5" ht="28" customHeight="1">
      <c r="A5" s="9" t="inlineStr">
        <is>
          <t>Fichier PDF :</t>
        </is>
      </c>
      <c r="B5" s="10" t="n"/>
      <c r="D5" s="11" t="inlineStr">
        <is>
          <t>← Bouton créé par VBA</t>
        </is>
      </c>
    </row>
    <row r="6" ht="8" customHeight="1"/>
    <row r="7" ht="30" customHeight="1">
      <c r="A7" s="8" t="inlineStr">
        <is>
          <t>2.  DONNÉES EXTRAITES AUTOMATIQUEMENT</t>
        </is>
      </c>
      <c r="B7" s="6" t="n"/>
      <c r="C7" s="6" t="n"/>
      <c r="D7" s="7" t="n"/>
    </row>
    <row r="9" ht="26" customHeight="1">
      <c r="A9" s="9" t="inlineStr">
        <is>
          <t>Numéro de facture :</t>
        </is>
      </c>
      <c r="B9" s="12" t="n"/>
    </row>
    <row r="10" ht="26" customHeight="1">
      <c r="A10" s="9" t="inlineStr">
        <is>
          <t>Date d'émission :</t>
        </is>
      </c>
      <c r="B10" s="13" t="n"/>
    </row>
    <row r="11" ht="26" customHeight="1">
      <c r="A11" s="9" t="inlineStr">
        <is>
          <t>Montant HT (€) :</t>
        </is>
      </c>
      <c r="B11" s="14" t="n"/>
    </row>
    <row r="12" ht="26" customHeight="1">
      <c r="A12" s="9" t="inlineStr">
        <is>
          <t>Montant TVA (€) :</t>
        </is>
      </c>
      <c r="B12" s="14" t="n"/>
    </row>
    <row r="13" ht="26" customHeight="1">
      <c r="A13" s="9" t="inlineStr">
        <is>
          <t>Montant TTC (€) :</t>
        </is>
      </c>
      <c r="B13" s="14" t="n"/>
    </row>
    <row r="14" ht="26" customHeight="1">
      <c r="A14" s="9" t="inlineStr">
        <is>
          <t>Taux TVA (%) :</t>
        </is>
      </c>
      <c r="B14" s="15" t="n"/>
    </row>
    <row r="15" ht="26" customHeight="1">
      <c r="A15" s="9" t="inlineStr">
        <is>
          <t>Type de facture :</t>
        </is>
      </c>
      <c r="B15" s="12" t="n"/>
    </row>
    <row r="16" ht="8" customHeight="1"/>
    <row r="17" ht="30" customHeight="1">
      <c r="A17" s="8" t="inlineStr">
        <is>
          <t>3.  ACTIONS</t>
        </is>
      </c>
      <c r="B17" s="6" t="n"/>
      <c r="C17" s="6" t="n"/>
      <c r="D17" s="7" t="n"/>
    </row>
    <row r="18" ht="22" customHeight="1">
      <c r="A18" s="16" t="inlineStr">
        <is>
          <t>→ Les boutons ci-dessous sont créés automatiquement par la macro VBA Setup_Boutons</t>
        </is>
      </c>
    </row>
    <row r="19" ht="40" customHeight="1"/>
    <row r="20" ht="40" customHeight="1"/>
    <row r="21" ht="8" customHeight="1"/>
    <row r="22" ht="26" customHeight="1">
      <c r="A22" s="17" t="inlineStr">
        <is>
          <t>STATUT</t>
        </is>
      </c>
      <c r="B22" s="6" t="n"/>
      <c r="C22" s="6" t="n"/>
      <c r="D22" s="7" t="n"/>
    </row>
    <row r="23" ht="22" customHeight="1">
      <c r="A23" s="18" t="inlineStr">
        <is>
          <t>En attente d'importation...</t>
        </is>
      </c>
    </row>
    <row r="24" ht="22" customHeight="1"/>
    <row r="25" ht="22" customHeight="1"/>
  </sheetData>
  <mergeCells count="15">
    <mergeCell ref="B13:C13"/>
    <mergeCell ref="A1:D1"/>
    <mergeCell ref="A17:D17"/>
    <mergeCell ref="A18:D18"/>
    <mergeCell ref="B15:C15"/>
    <mergeCell ref="B11:C11"/>
    <mergeCell ref="A22:D22"/>
    <mergeCell ref="B5:C5"/>
    <mergeCell ref="A3:D3"/>
    <mergeCell ref="B10:C10"/>
    <mergeCell ref="A7:D7"/>
    <mergeCell ref="B14:C14"/>
    <mergeCell ref="B9:C9"/>
    <mergeCell ref="A23:D25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F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20" customWidth="1" min="4" max="4"/>
    <col width="20" customWidth="1" min="5" max="5"/>
    <col width="1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48" customHeight="1">
      <c r="A1" s="5" t="inlineStr">
        <is>
          <t>TABLEAU DE BORD ANALYTIQUE</t>
        </is>
      </c>
      <c r="B1" s="6" t="n"/>
      <c r="C1" s="6" t="n"/>
      <c r="D1" s="6" t="n"/>
      <c r="E1" s="6" t="n"/>
      <c r="F1" s="7" t="n"/>
    </row>
    <row r="3" ht="30" customHeight="1">
      <c r="A3" s="19" t="inlineStr">
        <is>
          <t>Année affichée :</t>
        </is>
      </c>
      <c r="B3" s="20">
        <f>TVA_Mensuelle!B3</f>
        <v/>
      </c>
      <c r="C3" s="16" t="inlineStr">
        <is>
          <t>(modifiable dans TVA_Mensuelle, cellule B3)</t>
        </is>
      </c>
    </row>
    <row r="4" ht="38" customHeight="1">
      <c r="A4" s="21" t="inlineStr">
        <is>
          <t>Mois</t>
        </is>
      </c>
      <c r="B4" s="21" t="inlineStr">
        <is>
          <t>CA HT
(Clients)</t>
        </is>
      </c>
      <c r="C4" s="21" t="inlineStr">
        <is>
          <t>Dépenses HT
(Fournisseurs)</t>
        </is>
      </c>
      <c r="D4" s="21" t="inlineStr">
        <is>
          <t>TVA Collectée</t>
        </is>
      </c>
      <c r="E4" s="21" t="inlineStr">
        <is>
          <t>TVA Déductible</t>
        </is>
      </c>
      <c r="F4" s="21" t="inlineStr">
        <is>
          <t>Solde TVA</t>
        </is>
      </c>
    </row>
    <row r="5" ht="22" customHeight="1">
      <c r="A5" s="22" t="inlineStr">
        <is>
          <t>Janvier</t>
        </is>
      </c>
      <c r="B5" s="23">
        <f>IFERROR(SUMPRODUCT((MONTH(Clients_DB[Date_Emission])=1)*(YEAR(Clients_DB[Date_Emission])=TVA_Mensuelle!$B$3)*Clients_DB[Montant_HT]),0)</f>
        <v/>
      </c>
      <c r="C5" s="23">
        <f>IFERROR(SUMPRODUCT((MONTH(Fournisseurs_DB[Date_Emission])=1)*(YEAR(Fournisseurs_DB[Date_Emission])=TVA_Mensuelle!$B$3)*Fournisseurs_DB[Montant_HT]),0)</f>
        <v/>
      </c>
      <c r="D5" s="23">
        <f>IFERROR(SUMPRODUCT((MONTH(Clients_DB[Date_Emission])=1)*(YEAR(Clients_DB[Date_Emission])=TVA_Mensuelle!$B$3)*Clients_DB[Montant_TVA]),0)</f>
        <v/>
      </c>
      <c r="E5" s="23">
        <f>IFERROR(SUMPRODUCT((MONTH(Fournisseurs_DB[Date_Emission])=1)*(YEAR(Fournisseurs_DB[Date_Emission])=TVA_Mensuelle!$B$3)*Fournisseurs_DB[Montant_TVA]),0)</f>
        <v/>
      </c>
      <c r="F5" s="23">
        <f>D5-E5</f>
        <v/>
      </c>
    </row>
    <row r="6" ht="22" customHeight="1">
      <c r="A6" s="24" t="inlineStr">
        <is>
          <t>Février</t>
        </is>
      </c>
      <c r="B6" s="25">
        <f>IFERROR(SUMPRODUCT((MONTH(Clients_DB[Date_Emission])=2)*(YEAR(Clients_DB[Date_Emission])=TVA_Mensuelle!$B$3)*Clients_DB[Montant_HT]),0)</f>
        <v/>
      </c>
      <c r="C6" s="25">
        <f>IFERROR(SUMPRODUCT((MONTH(Fournisseurs_DB[Date_Emission])=2)*(YEAR(Fournisseurs_DB[Date_Emission])=TVA_Mensuelle!$B$3)*Fournisseurs_DB[Montant_HT]),0)</f>
        <v/>
      </c>
      <c r="D6" s="25">
        <f>IFERROR(SUMPRODUCT((MONTH(Clients_DB[Date_Emission])=2)*(YEAR(Clients_DB[Date_Emission])=TVA_Mensuelle!$B$3)*Clients_DB[Montant_TVA]),0)</f>
        <v/>
      </c>
      <c r="E6" s="25">
        <f>IFERROR(SUMPRODUCT((MONTH(Fournisseurs_DB[Date_Emission])=2)*(YEAR(Fournisseurs_DB[Date_Emission])=TVA_Mensuelle!$B$3)*Fournisseurs_DB[Montant_TVA]),0)</f>
        <v/>
      </c>
      <c r="F6" s="25">
        <f>D6-E6</f>
        <v/>
      </c>
    </row>
    <row r="7" ht="22" customHeight="1">
      <c r="A7" s="22" t="inlineStr">
        <is>
          <t>Mars</t>
        </is>
      </c>
      <c r="B7" s="23">
        <f>IFERROR(SUMPRODUCT((MONTH(Clients_DB[Date_Emission])=3)*(YEAR(Clients_DB[Date_Emission])=TVA_Mensuelle!$B$3)*Clients_DB[Montant_HT]),0)</f>
        <v/>
      </c>
      <c r="C7" s="23">
        <f>IFERROR(SUMPRODUCT((MONTH(Fournisseurs_DB[Date_Emission])=3)*(YEAR(Fournisseurs_DB[Date_Emission])=TVA_Mensuelle!$B$3)*Fournisseurs_DB[Montant_HT]),0)</f>
        <v/>
      </c>
      <c r="D7" s="23">
        <f>IFERROR(SUMPRODUCT((MONTH(Clients_DB[Date_Emission])=3)*(YEAR(Clients_DB[Date_Emission])=TVA_Mensuelle!$B$3)*Clients_DB[Montant_TVA]),0)</f>
        <v/>
      </c>
      <c r="E7" s="23">
        <f>IFERROR(SUMPRODUCT((MONTH(Fournisseurs_DB[Date_Emission])=3)*(YEAR(Fournisseurs_DB[Date_Emission])=TVA_Mensuelle!$B$3)*Fournisseurs_DB[Montant_TVA]),0)</f>
        <v/>
      </c>
      <c r="F7" s="23">
        <f>D7-E7</f>
        <v/>
      </c>
    </row>
    <row r="8" ht="22" customHeight="1">
      <c r="A8" s="24" t="inlineStr">
        <is>
          <t>Avril</t>
        </is>
      </c>
      <c r="B8" s="25">
        <f>IFERROR(SUMPRODUCT((MONTH(Clients_DB[Date_Emission])=4)*(YEAR(Clients_DB[Date_Emission])=TVA_Mensuelle!$B$3)*Clients_DB[Montant_HT]),0)</f>
        <v/>
      </c>
      <c r="C8" s="25">
        <f>IFERROR(SUMPRODUCT((MONTH(Fournisseurs_DB[Date_Emission])=4)*(YEAR(Fournisseurs_DB[Date_Emission])=TVA_Mensuelle!$B$3)*Fournisseurs_DB[Montant_HT]),0)</f>
        <v/>
      </c>
      <c r="D8" s="25">
        <f>IFERROR(SUMPRODUCT((MONTH(Clients_DB[Date_Emission])=4)*(YEAR(Clients_DB[Date_Emission])=TVA_Mensuelle!$B$3)*Clients_DB[Montant_TVA]),0)</f>
        <v/>
      </c>
      <c r="E8" s="25">
        <f>IFERROR(SUMPRODUCT((MONTH(Fournisseurs_DB[Date_Emission])=4)*(YEAR(Fournisseurs_DB[Date_Emission])=TVA_Mensuelle!$B$3)*Fournisseurs_DB[Montant_TVA]),0)</f>
        <v/>
      </c>
      <c r="F8" s="25">
        <f>D8-E8</f>
        <v/>
      </c>
    </row>
    <row r="9" ht="22" customHeight="1">
      <c r="A9" s="22" t="inlineStr">
        <is>
          <t>Mai</t>
        </is>
      </c>
      <c r="B9" s="23">
        <f>IFERROR(SUMPRODUCT((MONTH(Clients_DB[Date_Emission])=5)*(YEAR(Clients_DB[Date_Emission])=TVA_Mensuelle!$B$3)*Clients_DB[Montant_HT]),0)</f>
        <v/>
      </c>
      <c r="C9" s="23">
        <f>IFERROR(SUMPRODUCT((MONTH(Fournisseurs_DB[Date_Emission])=5)*(YEAR(Fournisseurs_DB[Date_Emission])=TVA_Mensuelle!$B$3)*Fournisseurs_DB[Montant_HT]),0)</f>
        <v/>
      </c>
      <c r="D9" s="23">
        <f>IFERROR(SUMPRODUCT((MONTH(Clients_DB[Date_Emission])=5)*(YEAR(Clients_DB[Date_Emission])=TVA_Mensuelle!$B$3)*Clients_DB[Montant_TVA]),0)</f>
        <v/>
      </c>
      <c r="E9" s="23">
        <f>IFERROR(SUMPRODUCT((MONTH(Fournisseurs_DB[Date_Emission])=5)*(YEAR(Fournisseurs_DB[Date_Emission])=TVA_Mensuelle!$B$3)*Fournisseurs_DB[Montant_TVA]),0)</f>
        <v/>
      </c>
      <c r="F9" s="23">
        <f>D9-E9</f>
        <v/>
      </c>
    </row>
    <row r="10" ht="22" customHeight="1">
      <c r="A10" s="24" t="inlineStr">
        <is>
          <t>Juin</t>
        </is>
      </c>
      <c r="B10" s="25">
        <f>IFERROR(SUMPRODUCT((MONTH(Clients_DB[Date_Emission])=6)*(YEAR(Clients_DB[Date_Emission])=TVA_Mensuelle!$B$3)*Clients_DB[Montant_HT]),0)</f>
        <v/>
      </c>
      <c r="C10" s="25">
        <f>IFERROR(SUMPRODUCT((MONTH(Fournisseurs_DB[Date_Emission])=6)*(YEAR(Fournisseurs_DB[Date_Emission])=TVA_Mensuelle!$B$3)*Fournisseurs_DB[Montant_HT]),0)</f>
        <v/>
      </c>
      <c r="D10" s="25">
        <f>IFERROR(SUMPRODUCT((MONTH(Clients_DB[Date_Emission])=6)*(YEAR(Clients_DB[Date_Emission])=TVA_Mensuelle!$B$3)*Clients_DB[Montant_TVA]),0)</f>
        <v/>
      </c>
      <c r="E10" s="25">
        <f>IFERROR(SUMPRODUCT((MONTH(Fournisseurs_DB[Date_Emission])=6)*(YEAR(Fournisseurs_DB[Date_Emission])=TVA_Mensuelle!$B$3)*Fournisseurs_DB[Montant_TVA]),0)</f>
        <v/>
      </c>
      <c r="F10" s="25">
        <f>D10-E10</f>
        <v/>
      </c>
    </row>
    <row r="11" ht="22" customHeight="1">
      <c r="A11" s="22" t="inlineStr">
        <is>
          <t>Juillet</t>
        </is>
      </c>
      <c r="B11" s="23">
        <f>IFERROR(SUMPRODUCT((MONTH(Clients_DB[Date_Emission])=7)*(YEAR(Clients_DB[Date_Emission])=TVA_Mensuelle!$B$3)*Clients_DB[Montant_HT]),0)</f>
        <v/>
      </c>
      <c r="C11" s="23">
        <f>IFERROR(SUMPRODUCT((MONTH(Fournisseurs_DB[Date_Emission])=7)*(YEAR(Fournisseurs_DB[Date_Emission])=TVA_Mensuelle!$B$3)*Fournisseurs_DB[Montant_HT]),0)</f>
        <v/>
      </c>
      <c r="D11" s="23">
        <f>IFERROR(SUMPRODUCT((MONTH(Clients_DB[Date_Emission])=7)*(YEAR(Clients_DB[Date_Emission])=TVA_Mensuelle!$B$3)*Clients_DB[Montant_TVA]),0)</f>
        <v/>
      </c>
      <c r="E11" s="23">
        <f>IFERROR(SUMPRODUCT((MONTH(Fournisseurs_DB[Date_Emission])=7)*(YEAR(Fournisseurs_DB[Date_Emission])=TVA_Mensuelle!$B$3)*Fournisseurs_DB[Montant_TVA]),0)</f>
        <v/>
      </c>
      <c r="F11" s="23">
        <f>D11-E11</f>
        <v/>
      </c>
    </row>
    <row r="12" ht="22" customHeight="1">
      <c r="A12" s="24" t="inlineStr">
        <is>
          <t>Août</t>
        </is>
      </c>
      <c r="B12" s="25">
        <f>IFERROR(SUMPRODUCT((MONTH(Clients_DB[Date_Emission])=8)*(YEAR(Clients_DB[Date_Emission])=TVA_Mensuelle!$B$3)*Clients_DB[Montant_HT]),0)</f>
        <v/>
      </c>
      <c r="C12" s="25">
        <f>IFERROR(SUMPRODUCT((MONTH(Fournisseurs_DB[Date_Emission])=8)*(YEAR(Fournisseurs_DB[Date_Emission])=TVA_Mensuelle!$B$3)*Fournisseurs_DB[Montant_HT]),0)</f>
        <v/>
      </c>
      <c r="D12" s="25">
        <f>IFERROR(SUMPRODUCT((MONTH(Clients_DB[Date_Emission])=8)*(YEAR(Clients_DB[Date_Emission])=TVA_Mensuelle!$B$3)*Clients_DB[Montant_TVA]),0)</f>
        <v/>
      </c>
      <c r="E12" s="25">
        <f>IFERROR(SUMPRODUCT((MONTH(Fournisseurs_DB[Date_Emission])=8)*(YEAR(Fournisseurs_DB[Date_Emission])=TVA_Mensuelle!$B$3)*Fournisseurs_DB[Montant_TVA]),0)</f>
        <v/>
      </c>
      <c r="F12" s="25">
        <f>D12-E12</f>
        <v/>
      </c>
    </row>
    <row r="13" ht="22" customHeight="1">
      <c r="A13" s="22" t="inlineStr">
        <is>
          <t>Septembre</t>
        </is>
      </c>
      <c r="B13" s="23">
        <f>IFERROR(SUMPRODUCT((MONTH(Clients_DB[Date_Emission])=9)*(YEAR(Clients_DB[Date_Emission])=TVA_Mensuelle!$B$3)*Clients_DB[Montant_HT]),0)</f>
        <v/>
      </c>
      <c r="C13" s="23">
        <f>IFERROR(SUMPRODUCT((MONTH(Fournisseurs_DB[Date_Emission])=9)*(YEAR(Fournisseurs_DB[Date_Emission])=TVA_Mensuelle!$B$3)*Fournisseurs_DB[Montant_HT]),0)</f>
        <v/>
      </c>
      <c r="D13" s="23">
        <f>IFERROR(SUMPRODUCT((MONTH(Clients_DB[Date_Emission])=9)*(YEAR(Clients_DB[Date_Emission])=TVA_Mensuelle!$B$3)*Clients_DB[Montant_TVA]),0)</f>
        <v/>
      </c>
      <c r="E13" s="23">
        <f>IFERROR(SUMPRODUCT((MONTH(Fournisseurs_DB[Date_Emission])=9)*(YEAR(Fournisseurs_DB[Date_Emission])=TVA_Mensuelle!$B$3)*Fournisseurs_DB[Montant_TVA]),0)</f>
        <v/>
      </c>
      <c r="F13" s="23">
        <f>D13-E13</f>
        <v/>
      </c>
    </row>
    <row r="14" ht="22" customHeight="1">
      <c r="A14" s="24" t="inlineStr">
        <is>
          <t>Octobre</t>
        </is>
      </c>
      <c r="B14" s="25">
        <f>IFERROR(SUMPRODUCT((MONTH(Clients_DB[Date_Emission])=10)*(YEAR(Clients_DB[Date_Emission])=TVA_Mensuelle!$B$3)*Clients_DB[Montant_HT]),0)</f>
        <v/>
      </c>
      <c r="C14" s="25">
        <f>IFERROR(SUMPRODUCT((MONTH(Fournisseurs_DB[Date_Emission])=10)*(YEAR(Fournisseurs_DB[Date_Emission])=TVA_Mensuelle!$B$3)*Fournisseurs_DB[Montant_HT]),0)</f>
        <v/>
      </c>
      <c r="D14" s="25">
        <f>IFERROR(SUMPRODUCT((MONTH(Clients_DB[Date_Emission])=10)*(YEAR(Clients_DB[Date_Emission])=TVA_Mensuelle!$B$3)*Clients_DB[Montant_TVA]),0)</f>
        <v/>
      </c>
      <c r="E14" s="25">
        <f>IFERROR(SUMPRODUCT((MONTH(Fournisseurs_DB[Date_Emission])=10)*(YEAR(Fournisseurs_DB[Date_Emission])=TVA_Mensuelle!$B$3)*Fournisseurs_DB[Montant_TVA]),0)</f>
        <v/>
      </c>
      <c r="F14" s="25">
        <f>D14-E14</f>
        <v/>
      </c>
    </row>
    <row r="15" ht="22" customHeight="1">
      <c r="A15" s="22" t="inlineStr">
        <is>
          <t>Novembre</t>
        </is>
      </c>
      <c r="B15" s="23">
        <f>IFERROR(SUMPRODUCT((MONTH(Clients_DB[Date_Emission])=11)*(YEAR(Clients_DB[Date_Emission])=TVA_Mensuelle!$B$3)*Clients_DB[Montant_HT]),0)</f>
        <v/>
      </c>
      <c r="C15" s="23">
        <f>IFERROR(SUMPRODUCT((MONTH(Fournisseurs_DB[Date_Emission])=11)*(YEAR(Fournisseurs_DB[Date_Emission])=TVA_Mensuelle!$B$3)*Fournisseurs_DB[Montant_HT]),0)</f>
        <v/>
      </c>
      <c r="D15" s="23">
        <f>IFERROR(SUMPRODUCT((MONTH(Clients_DB[Date_Emission])=11)*(YEAR(Clients_DB[Date_Emission])=TVA_Mensuelle!$B$3)*Clients_DB[Montant_TVA]),0)</f>
        <v/>
      </c>
      <c r="E15" s="23">
        <f>IFERROR(SUMPRODUCT((MONTH(Fournisseurs_DB[Date_Emission])=11)*(YEAR(Fournisseurs_DB[Date_Emission])=TVA_Mensuelle!$B$3)*Fournisseurs_DB[Montant_TVA]),0)</f>
        <v/>
      </c>
      <c r="F15" s="23">
        <f>D15-E15</f>
        <v/>
      </c>
    </row>
    <row r="16" ht="22" customHeight="1">
      <c r="A16" s="24" t="inlineStr">
        <is>
          <t>Décembre</t>
        </is>
      </c>
      <c r="B16" s="25">
        <f>IFERROR(SUMPRODUCT((MONTH(Clients_DB[Date_Emission])=12)*(YEAR(Clients_DB[Date_Emission])=TVA_Mensuelle!$B$3)*Clients_DB[Montant_HT]),0)</f>
        <v/>
      </c>
      <c r="C16" s="25">
        <f>IFERROR(SUMPRODUCT((MONTH(Fournisseurs_DB[Date_Emission])=12)*(YEAR(Fournisseurs_DB[Date_Emission])=TVA_Mensuelle!$B$3)*Fournisseurs_DB[Montant_HT]),0)</f>
        <v/>
      </c>
      <c r="D16" s="25">
        <f>IFERROR(SUMPRODUCT((MONTH(Clients_DB[Date_Emission])=12)*(YEAR(Clients_DB[Date_Emission])=TVA_Mensuelle!$B$3)*Clients_DB[Montant_TVA]),0)</f>
        <v/>
      </c>
      <c r="E16" s="25">
        <f>IFERROR(SUMPRODUCT((MONTH(Fournisseurs_DB[Date_Emission])=12)*(YEAR(Fournisseurs_DB[Date_Emission])=TVA_Mensuelle!$B$3)*Fournisseurs_DB[Montant_TVA]),0)</f>
        <v/>
      </c>
      <c r="F16" s="25">
        <f>D16-E16</f>
        <v/>
      </c>
    </row>
    <row r="17" ht="28" customHeight="1">
      <c r="A17" s="26" t="inlineStr">
        <is>
          <t>TOTAL ANNUEL</t>
        </is>
      </c>
      <c r="B17" s="27">
        <f>SUM(B5:B16)</f>
        <v/>
      </c>
      <c r="C17" s="27">
        <f>SUM(C5:C16)</f>
        <v/>
      </c>
      <c r="D17" s="27">
        <f>SUM(D5:D16)</f>
        <v/>
      </c>
      <c r="E17" s="27">
        <f>SUM(E5:E16)</f>
        <v/>
      </c>
      <c r="F17" s="27">
        <f>SUM(F5:F16)</f>
        <v/>
      </c>
    </row>
  </sheetData>
  <mergeCells count="2">
    <mergeCell ref="A1:F1"/>
    <mergeCell ref="C3:F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2" customWidth="1" min="4" max="4"/>
    <col width="22" customWidth="1" min="5" max="5"/>
    <col width="20" customWidth="1" min="6" max="6"/>
    <col width="20" customWidth="1" min="7" max="7"/>
    <col width="25" customWidth="1" min="8" max="8"/>
  </cols>
  <sheetData>
    <row r="1" ht="48" customHeight="1">
      <c r="A1" s="5" t="inlineStr">
        <is>
          <t>CALCUL DE TVA MENSUELLE</t>
        </is>
      </c>
      <c r="B1" s="6" t="n"/>
      <c r="C1" s="6" t="n"/>
      <c r="D1" s="6" t="n"/>
      <c r="E1" s="6" t="n"/>
      <c r="F1" s="6" t="n"/>
      <c r="G1" s="6" t="n"/>
      <c r="H1" s="7" t="n"/>
    </row>
    <row r="3" ht="32" customHeight="1">
      <c r="A3" s="28" t="inlineStr">
        <is>
          <t>Année fiscale :</t>
        </is>
      </c>
      <c r="B3" s="29" t="n">
        <v>2026</v>
      </c>
      <c r="C3" s="16" t="inlineStr">
        <is>
          <t>← Saisissez l'année souhaitée</t>
        </is>
      </c>
    </row>
    <row r="4" ht="8" customHeight="1"/>
    <row r="5" ht="42" customHeight="1">
      <c r="A5" s="1" t="inlineStr">
        <is>
          <t>Mois</t>
        </is>
      </c>
      <c r="B5" s="1" t="inlineStr">
        <is>
          <t>Année</t>
        </is>
      </c>
      <c r="C5" s="1" t="inlineStr">
        <is>
          <t>TVA Collectée
(Clients)</t>
        </is>
      </c>
      <c r="D5" s="1" t="inlineStr">
        <is>
          <t>TVA Déductible
(Fournisseurs)</t>
        </is>
      </c>
      <c r="E5" s="1" t="inlineStr">
        <is>
          <t>TVA à Payer
(Collectée − Déductible)</t>
        </is>
      </c>
      <c r="F5" s="1" t="inlineStr">
        <is>
          <t>Solde
Cumulé</t>
        </is>
      </c>
      <c r="G5" s="1" t="inlineStr">
        <is>
          <t>Statut</t>
        </is>
      </c>
      <c r="H5" s="1" t="inlineStr">
        <is>
          <t>Échéance
Déclaration</t>
        </is>
      </c>
    </row>
    <row r="6" ht="24" customHeight="1">
      <c r="A6" s="22" t="inlineStr">
        <is>
          <t>Janvier</t>
        </is>
      </c>
      <c r="B6" s="30">
        <f>$B$3</f>
        <v/>
      </c>
      <c r="C6" s="31">
        <f>IFERROR(SUMPRODUCT((MONTH(Clients_DB[Date_Emission])=1)*(YEAR(Clients_DB[Date_Emission])=$B$3)*Clients_DB[Montant_TVA]),0)</f>
        <v/>
      </c>
      <c r="D6" s="31">
        <f>IFERROR(SUMPRODUCT((MONTH(Fournisseurs_DB[Date_Emission])=1)*(YEAR(Fournisseurs_DB[Date_Emission])=$B$3)*Fournisseurs_DB[Montant_TVA]),0)</f>
        <v/>
      </c>
      <c r="E6" s="31">
        <f>C6-D6</f>
        <v/>
      </c>
      <c r="F6" s="31">
        <f>E6</f>
        <v/>
      </c>
      <c r="G6" s="32">
        <f>IF(E6&gt;0,"À PAYER : "&amp;TEXT(E6,"#,##0.00 €"),IF(E6&lt;0,"CRÉDIT : "&amp;TEXT(ABS(E6),"#,##0.00 €"),"Équilibré"))</f>
        <v/>
      </c>
      <c r="H6" s="33">
        <f>DATE($B$3,2,19)</f>
        <v/>
      </c>
    </row>
    <row r="7" ht="24" customHeight="1">
      <c r="A7" s="24" t="inlineStr">
        <is>
          <t>Février</t>
        </is>
      </c>
      <c r="B7" s="34">
        <f>$B$3</f>
        <v/>
      </c>
      <c r="C7" s="35">
        <f>IFERROR(SUMPRODUCT((MONTH(Clients_DB[Date_Emission])=2)*(YEAR(Clients_DB[Date_Emission])=$B$3)*Clients_DB[Montant_TVA]),0)</f>
        <v/>
      </c>
      <c r="D7" s="35">
        <f>IFERROR(SUMPRODUCT((MONTH(Fournisseurs_DB[Date_Emission])=2)*(YEAR(Fournisseurs_DB[Date_Emission])=$B$3)*Fournisseurs_DB[Montant_TVA]),0)</f>
        <v/>
      </c>
      <c r="E7" s="35">
        <f>C7-D7</f>
        <v/>
      </c>
      <c r="F7" s="35">
        <f>F6+E7</f>
        <v/>
      </c>
      <c r="G7" s="36">
        <f>IF(E7&gt;0,"À PAYER : "&amp;TEXT(E7,"#,##0.00 €"),IF(E7&lt;0,"CRÉDIT : "&amp;TEXT(ABS(E7),"#,##0.00 €"),"Équilibré"))</f>
        <v/>
      </c>
      <c r="H7" s="37">
        <f>DATE($B$3,3,19)</f>
        <v/>
      </c>
    </row>
    <row r="8" ht="24" customHeight="1">
      <c r="A8" s="22" t="inlineStr">
        <is>
          <t>Mars</t>
        </is>
      </c>
      <c r="B8" s="30">
        <f>$B$3</f>
        <v/>
      </c>
      <c r="C8" s="31">
        <f>IFERROR(SUMPRODUCT((MONTH(Clients_DB[Date_Emission])=3)*(YEAR(Clients_DB[Date_Emission])=$B$3)*Clients_DB[Montant_TVA]),0)</f>
        <v/>
      </c>
      <c r="D8" s="31">
        <f>IFERROR(SUMPRODUCT((MONTH(Fournisseurs_DB[Date_Emission])=3)*(YEAR(Fournisseurs_DB[Date_Emission])=$B$3)*Fournisseurs_DB[Montant_TVA]),0)</f>
        <v/>
      </c>
      <c r="E8" s="31">
        <f>C8-D8</f>
        <v/>
      </c>
      <c r="F8" s="31">
        <f>F7+E8</f>
        <v/>
      </c>
      <c r="G8" s="32">
        <f>IF(E8&gt;0,"À PAYER : "&amp;TEXT(E8,"#,##0.00 €"),IF(E8&lt;0,"CRÉDIT : "&amp;TEXT(ABS(E8),"#,##0.00 €"),"Équilibré"))</f>
        <v/>
      </c>
      <c r="H8" s="33">
        <f>DATE($B$3,4,19)</f>
        <v/>
      </c>
    </row>
    <row r="9" ht="24" customHeight="1">
      <c r="A9" s="24" t="inlineStr">
        <is>
          <t>Avril</t>
        </is>
      </c>
      <c r="B9" s="34">
        <f>$B$3</f>
        <v/>
      </c>
      <c r="C9" s="35">
        <f>IFERROR(SUMPRODUCT((MONTH(Clients_DB[Date_Emission])=4)*(YEAR(Clients_DB[Date_Emission])=$B$3)*Clients_DB[Montant_TVA]),0)</f>
        <v/>
      </c>
      <c r="D9" s="35">
        <f>IFERROR(SUMPRODUCT((MONTH(Fournisseurs_DB[Date_Emission])=4)*(YEAR(Fournisseurs_DB[Date_Emission])=$B$3)*Fournisseurs_DB[Montant_TVA]),0)</f>
        <v/>
      </c>
      <c r="E9" s="35">
        <f>C9-D9</f>
        <v/>
      </c>
      <c r="F9" s="35">
        <f>F8+E9</f>
        <v/>
      </c>
      <c r="G9" s="36">
        <f>IF(E9&gt;0,"À PAYER : "&amp;TEXT(E9,"#,##0.00 €"),IF(E9&lt;0,"CRÉDIT : "&amp;TEXT(ABS(E9),"#,##0.00 €"),"Équilibré"))</f>
        <v/>
      </c>
      <c r="H9" s="37">
        <f>DATE($B$3,5,19)</f>
        <v/>
      </c>
    </row>
    <row r="10" ht="24" customHeight="1">
      <c r="A10" s="22" t="inlineStr">
        <is>
          <t>Mai</t>
        </is>
      </c>
      <c r="B10" s="30">
        <f>$B$3</f>
        <v/>
      </c>
      <c r="C10" s="31">
        <f>IFERROR(SUMPRODUCT((MONTH(Clients_DB[Date_Emission])=5)*(YEAR(Clients_DB[Date_Emission])=$B$3)*Clients_DB[Montant_TVA]),0)</f>
        <v/>
      </c>
      <c r="D10" s="31">
        <f>IFERROR(SUMPRODUCT((MONTH(Fournisseurs_DB[Date_Emission])=5)*(YEAR(Fournisseurs_DB[Date_Emission])=$B$3)*Fournisseurs_DB[Montant_TVA]),0)</f>
        <v/>
      </c>
      <c r="E10" s="31">
        <f>C10-D10</f>
        <v/>
      </c>
      <c r="F10" s="31">
        <f>F9+E10</f>
        <v/>
      </c>
      <c r="G10" s="32">
        <f>IF(E10&gt;0,"À PAYER : "&amp;TEXT(E10,"#,##0.00 €"),IF(E10&lt;0,"CRÉDIT : "&amp;TEXT(ABS(E10),"#,##0.00 €"),"Équilibré"))</f>
        <v/>
      </c>
      <c r="H10" s="33">
        <f>DATE($B$3,6,19)</f>
        <v/>
      </c>
    </row>
    <row r="11" ht="24" customHeight="1">
      <c r="A11" s="24" t="inlineStr">
        <is>
          <t>Juin</t>
        </is>
      </c>
      <c r="B11" s="34">
        <f>$B$3</f>
        <v/>
      </c>
      <c r="C11" s="35">
        <f>IFERROR(SUMPRODUCT((MONTH(Clients_DB[Date_Emission])=6)*(YEAR(Clients_DB[Date_Emission])=$B$3)*Clients_DB[Montant_TVA]),0)</f>
        <v/>
      </c>
      <c r="D11" s="35">
        <f>IFERROR(SUMPRODUCT((MONTH(Fournisseurs_DB[Date_Emission])=6)*(YEAR(Fournisseurs_DB[Date_Emission])=$B$3)*Fournisseurs_DB[Montant_TVA]),0)</f>
        <v/>
      </c>
      <c r="E11" s="35">
        <f>C11-D11</f>
        <v/>
      </c>
      <c r="F11" s="35">
        <f>F10+E11</f>
        <v/>
      </c>
      <c r="G11" s="36">
        <f>IF(E11&gt;0,"À PAYER : "&amp;TEXT(E11,"#,##0.00 €"),IF(E11&lt;0,"CRÉDIT : "&amp;TEXT(ABS(E11),"#,##0.00 €"),"Équilibré"))</f>
        <v/>
      </c>
      <c r="H11" s="37">
        <f>DATE($B$3,7,19)</f>
        <v/>
      </c>
    </row>
    <row r="12" ht="24" customHeight="1">
      <c r="A12" s="22" t="inlineStr">
        <is>
          <t>Juillet</t>
        </is>
      </c>
      <c r="B12" s="30">
        <f>$B$3</f>
        <v/>
      </c>
      <c r="C12" s="31">
        <f>IFERROR(SUMPRODUCT((MONTH(Clients_DB[Date_Emission])=7)*(YEAR(Clients_DB[Date_Emission])=$B$3)*Clients_DB[Montant_TVA]),0)</f>
        <v/>
      </c>
      <c r="D12" s="31">
        <f>IFERROR(SUMPRODUCT((MONTH(Fournisseurs_DB[Date_Emission])=7)*(YEAR(Fournisseurs_DB[Date_Emission])=$B$3)*Fournisseurs_DB[Montant_TVA]),0)</f>
        <v/>
      </c>
      <c r="E12" s="31">
        <f>C12-D12</f>
        <v/>
      </c>
      <c r="F12" s="31">
        <f>F11+E12</f>
        <v/>
      </c>
      <c r="G12" s="32">
        <f>IF(E12&gt;0,"À PAYER : "&amp;TEXT(E12,"#,##0.00 €"),IF(E12&lt;0,"CRÉDIT : "&amp;TEXT(ABS(E12),"#,##0.00 €"),"Équilibré"))</f>
        <v/>
      </c>
      <c r="H12" s="33">
        <f>DATE($B$3,8,19)</f>
        <v/>
      </c>
    </row>
    <row r="13" ht="24" customHeight="1">
      <c r="A13" s="24" t="inlineStr">
        <is>
          <t>Août</t>
        </is>
      </c>
      <c r="B13" s="34">
        <f>$B$3</f>
        <v/>
      </c>
      <c r="C13" s="35">
        <f>IFERROR(SUMPRODUCT((MONTH(Clients_DB[Date_Emission])=8)*(YEAR(Clients_DB[Date_Emission])=$B$3)*Clients_DB[Montant_TVA]),0)</f>
        <v/>
      </c>
      <c r="D13" s="35">
        <f>IFERROR(SUMPRODUCT((MONTH(Fournisseurs_DB[Date_Emission])=8)*(YEAR(Fournisseurs_DB[Date_Emission])=$B$3)*Fournisseurs_DB[Montant_TVA]),0)</f>
        <v/>
      </c>
      <c r="E13" s="35">
        <f>C13-D13</f>
        <v/>
      </c>
      <c r="F13" s="35">
        <f>F12+E13</f>
        <v/>
      </c>
      <c r="G13" s="36">
        <f>IF(E13&gt;0,"À PAYER : "&amp;TEXT(E13,"#,##0.00 €"),IF(E13&lt;0,"CRÉDIT : "&amp;TEXT(ABS(E13),"#,##0.00 €"),"Équilibré"))</f>
        <v/>
      </c>
      <c r="H13" s="37">
        <f>DATE($B$3,9,19)</f>
        <v/>
      </c>
    </row>
    <row r="14" ht="24" customHeight="1">
      <c r="A14" s="22" t="inlineStr">
        <is>
          <t>Septembre</t>
        </is>
      </c>
      <c r="B14" s="30">
        <f>$B$3</f>
        <v/>
      </c>
      <c r="C14" s="31">
        <f>IFERROR(SUMPRODUCT((MONTH(Clients_DB[Date_Emission])=9)*(YEAR(Clients_DB[Date_Emission])=$B$3)*Clients_DB[Montant_TVA]),0)</f>
        <v/>
      </c>
      <c r="D14" s="31">
        <f>IFERROR(SUMPRODUCT((MONTH(Fournisseurs_DB[Date_Emission])=9)*(YEAR(Fournisseurs_DB[Date_Emission])=$B$3)*Fournisseurs_DB[Montant_TVA]),0)</f>
        <v/>
      </c>
      <c r="E14" s="31">
        <f>C14-D14</f>
        <v/>
      </c>
      <c r="F14" s="31">
        <f>F13+E14</f>
        <v/>
      </c>
      <c r="G14" s="32">
        <f>IF(E14&gt;0,"À PAYER : "&amp;TEXT(E14,"#,##0.00 €"),IF(E14&lt;0,"CRÉDIT : "&amp;TEXT(ABS(E14),"#,##0.00 €"),"Équilibré"))</f>
        <v/>
      </c>
      <c r="H14" s="33">
        <f>DATE($B$3,10,19)</f>
        <v/>
      </c>
    </row>
    <row r="15" ht="24" customHeight="1">
      <c r="A15" s="24" t="inlineStr">
        <is>
          <t>Octobre</t>
        </is>
      </c>
      <c r="B15" s="34">
        <f>$B$3</f>
        <v/>
      </c>
      <c r="C15" s="35">
        <f>IFERROR(SUMPRODUCT((MONTH(Clients_DB[Date_Emission])=10)*(YEAR(Clients_DB[Date_Emission])=$B$3)*Clients_DB[Montant_TVA]),0)</f>
        <v/>
      </c>
      <c r="D15" s="35">
        <f>IFERROR(SUMPRODUCT((MONTH(Fournisseurs_DB[Date_Emission])=10)*(YEAR(Fournisseurs_DB[Date_Emission])=$B$3)*Fournisseurs_DB[Montant_TVA]),0)</f>
        <v/>
      </c>
      <c r="E15" s="35">
        <f>C15-D15</f>
        <v/>
      </c>
      <c r="F15" s="35">
        <f>F14+E15</f>
        <v/>
      </c>
      <c r="G15" s="36">
        <f>IF(E15&gt;0,"À PAYER : "&amp;TEXT(E15,"#,##0.00 €"),IF(E15&lt;0,"CRÉDIT : "&amp;TEXT(ABS(E15),"#,##0.00 €"),"Équilibré"))</f>
        <v/>
      </c>
      <c r="H15" s="37">
        <f>DATE($B$3,11,19)</f>
        <v/>
      </c>
    </row>
    <row r="16" ht="24" customHeight="1">
      <c r="A16" s="22" t="inlineStr">
        <is>
          <t>Novembre</t>
        </is>
      </c>
      <c r="B16" s="30">
        <f>$B$3</f>
        <v/>
      </c>
      <c r="C16" s="31">
        <f>IFERROR(SUMPRODUCT((MONTH(Clients_DB[Date_Emission])=11)*(YEAR(Clients_DB[Date_Emission])=$B$3)*Clients_DB[Montant_TVA]),0)</f>
        <v/>
      </c>
      <c r="D16" s="31">
        <f>IFERROR(SUMPRODUCT((MONTH(Fournisseurs_DB[Date_Emission])=11)*(YEAR(Fournisseurs_DB[Date_Emission])=$B$3)*Fournisseurs_DB[Montant_TVA]),0)</f>
        <v/>
      </c>
      <c r="E16" s="31">
        <f>C16-D16</f>
        <v/>
      </c>
      <c r="F16" s="31">
        <f>F15+E16</f>
        <v/>
      </c>
      <c r="G16" s="32">
        <f>IF(E16&gt;0,"À PAYER : "&amp;TEXT(E16,"#,##0.00 €"),IF(E16&lt;0,"CRÉDIT : "&amp;TEXT(ABS(E16),"#,##0.00 €"),"Équilibré"))</f>
        <v/>
      </c>
      <c r="H16" s="33">
        <f>DATE($B$3,12,19)</f>
        <v/>
      </c>
    </row>
    <row r="17" ht="24" customHeight="1">
      <c r="A17" s="24" t="inlineStr">
        <is>
          <t>Décembre</t>
        </is>
      </c>
      <c r="B17" s="34">
        <f>$B$3</f>
        <v/>
      </c>
      <c r="C17" s="35">
        <f>IFERROR(SUMPRODUCT((MONTH(Clients_DB[Date_Emission])=12)*(YEAR(Clients_DB[Date_Emission])=$B$3)*Clients_DB[Montant_TVA]),0)</f>
        <v/>
      </c>
      <c r="D17" s="35">
        <f>IFERROR(SUMPRODUCT((MONTH(Fournisseurs_DB[Date_Emission])=12)*(YEAR(Fournisseurs_DB[Date_Emission])=$B$3)*Fournisseurs_DB[Montant_TVA]),0)</f>
        <v/>
      </c>
      <c r="E17" s="35">
        <f>C17-D17</f>
        <v/>
      </c>
      <c r="F17" s="35">
        <f>F16+E17</f>
        <v/>
      </c>
      <c r="G17" s="36">
        <f>IF(E17&gt;0,"À PAYER : "&amp;TEXT(E17,"#,##0.00 €"),IF(E17&lt;0,"CRÉDIT : "&amp;TEXT(ABS(E17),"#,##0.00 €"),"Équilibré"))</f>
        <v/>
      </c>
      <c r="H17" s="37">
        <f>DATE($B$3+1,1,19)</f>
        <v/>
      </c>
    </row>
    <row r="18" ht="30" customHeight="1">
      <c r="A18" s="38" t="inlineStr">
        <is>
          <t>TOTAL ANNUEL</t>
        </is>
      </c>
      <c r="C18" s="39">
        <f>SUM(C6:C17)</f>
        <v/>
      </c>
      <c r="D18" s="39">
        <f>SUM(D6:D17)</f>
        <v/>
      </c>
      <c r="E18" s="39">
        <f>SUM(E6:E17)</f>
        <v/>
      </c>
      <c r="F18" s="39">
        <f>F17</f>
        <v/>
      </c>
    </row>
    <row r="20" ht="8" customHeight="1"/>
    <row r="21" ht="30" customHeight="1">
      <c r="A21" s="8" t="inlineStr">
        <is>
          <t>SYNTHÈSE PAR TAUX DE TVA</t>
        </is>
      </c>
      <c r="B21" s="6" t="n"/>
      <c r="C21" s="6" t="n"/>
      <c r="D21" s="6" t="n"/>
      <c r="E21" s="6" t="n"/>
      <c r="F21" s="6" t="n"/>
      <c r="G21" s="6" t="n"/>
      <c r="H21" s="7" t="n"/>
    </row>
    <row r="22" ht="28" customHeight="1">
      <c r="A22" s="21" t="inlineStr">
        <is>
          <t>Taux TVA</t>
        </is>
      </c>
      <c r="B22" s="21" t="inlineStr">
        <is>
          <t>TVA Collectée (Clients)</t>
        </is>
      </c>
      <c r="C22" s="21" t="inlineStr">
        <is>
          <t>TVA Déductible (Fournisseurs)</t>
        </is>
      </c>
      <c r="D22" s="21" t="inlineStr">
        <is>
          <t>Solde Net</t>
        </is>
      </c>
    </row>
    <row r="23" ht="24" customHeight="1">
      <c r="A23" s="40" t="inlineStr">
        <is>
          <t>0 %</t>
        </is>
      </c>
      <c r="B23" s="31">
        <f>IFERROR(SUMPRODUCT((Clients_DB[Taux_TVA]=0)*(YEAR(Clients_DB[Date_Emission])=$B$3)*Clients_DB[Montant_TVA]),0)</f>
        <v/>
      </c>
      <c r="C23" s="31">
        <f>IFERROR(SUMPRODUCT((Fournisseurs_DB[Taux_TVA]=0)*(YEAR(Fournisseurs_DB[Date_Emission])=$B$3)*Fournisseurs_DB[Montant_TVA]),0)</f>
        <v/>
      </c>
      <c r="D23" s="31">
        <f>B23-C23</f>
        <v/>
      </c>
    </row>
    <row r="24" ht="24" customHeight="1">
      <c r="A24" s="41" t="inlineStr">
        <is>
          <t>5,5 %</t>
        </is>
      </c>
      <c r="B24" s="35">
        <f>IFERROR(SUMPRODUCT((Clients_DB[Taux_TVA]=5.5)*(YEAR(Clients_DB[Date_Emission])=$B$3)*Clients_DB[Montant_TVA]),0)</f>
        <v/>
      </c>
      <c r="C24" s="35">
        <f>IFERROR(SUMPRODUCT((Fournisseurs_DB[Taux_TVA]=5.5)*(YEAR(Fournisseurs_DB[Date_Emission])=$B$3)*Fournisseurs_DB[Montant_TVA]),0)</f>
        <v/>
      </c>
      <c r="D24" s="35">
        <f>B24-C24</f>
        <v/>
      </c>
    </row>
    <row r="25" ht="24" customHeight="1">
      <c r="A25" s="40" t="inlineStr">
        <is>
          <t>10 %</t>
        </is>
      </c>
      <c r="B25" s="31">
        <f>IFERROR(SUMPRODUCT((Clients_DB[Taux_TVA]=10)*(YEAR(Clients_DB[Date_Emission])=$B$3)*Clients_DB[Montant_TVA]),0)</f>
        <v/>
      </c>
      <c r="C25" s="31">
        <f>IFERROR(SUMPRODUCT((Fournisseurs_DB[Taux_TVA]=10)*(YEAR(Fournisseurs_DB[Date_Emission])=$B$3)*Fournisseurs_DB[Montant_TVA]),0)</f>
        <v/>
      </c>
      <c r="D25" s="31">
        <f>B25-C25</f>
        <v/>
      </c>
    </row>
    <row r="26" ht="24" customHeight="1">
      <c r="A26" s="41" t="inlineStr">
        <is>
          <t>20 %</t>
        </is>
      </c>
      <c r="B26" s="35">
        <f>IFERROR(SUMPRODUCT((Clients_DB[Taux_TVA]=20)*(YEAR(Clients_DB[Date_Emission])=$B$3)*Clients_DB[Montant_TVA]),0)</f>
        <v/>
      </c>
      <c r="C26" s="35">
        <f>IFERROR(SUMPRODUCT((Fournisseurs_DB[Taux_TVA]=20)*(YEAR(Fournisseurs_DB[Date_Emission])=$B$3)*Fournisseurs_DB[Montant_TVA]),0)</f>
        <v/>
      </c>
      <c r="D26" s="35">
        <f>B26-C26</f>
        <v/>
      </c>
    </row>
  </sheetData>
  <mergeCells count="3">
    <mergeCell ref="A21:H21"/>
    <mergeCell ref="C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0" customWidth="1" min="3" max="3"/>
  </cols>
  <sheetData>
    <row r="1" ht="52" customHeight="1">
      <c r="A1" s="42" t="inlineStr">
        <is>
          <t>GUIDE UTILISATEUR — SYSTÈME DE GESTION COMPTABLE ECPT</t>
        </is>
      </c>
      <c r="B1" s="6" t="n"/>
      <c r="C1" s="7" t="n"/>
    </row>
    <row r="3" ht="28" customHeight="1">
      <c r="B3" s="43" t="inlineStr">
        <is>
          <t>INSTALLATION INITIALE</t>
        </is>
      </c>
    </row>
    <row r="4" ht="19" customHeight="1">
      <c r="B4" s="44" t="inlineStr">
        <is>
          <t>1.  Exécutez install.bat en tant qu'administrateur.</t>
        </is>
      </c>
    </row>
    <row r="5" ht="19" customHeight="1">
      <c r="B5" s="44" t="inlineStr">
        <is>
          <t xml:space="preserve">     Ce script installe Python, les bibliothèques et crée le fichier Excel.</t>
        </is>
      </c>
    </row>
    <row r="6" ht="19" customHeight="1">
      <c r="B6" s="44" t="inlineStr">
        <is>
          <t>2.  Ouvrez EasyCompta.xlsx dans Excel 365.</t>
        </is>
      </c>
    </row>
    <row r="7" ht="19" customHeight="1">
      <c r="B7" s="44" t="inlineStr">
        <is>
          <t>3.  Enregistrez-le en .xlsm : Fichier → Enregistrer sous → Classeur Excel prenant en charge les macros (*.xlsm).</t>
        </is>
      </c>
    </row>
    <row r="8" ht="19" customHeight="1">
      <c r="B8" s="44" t="inlineStr">
        <is>
          <t>4.  Ouvrez l'éditeur VBA : Alt + F11.</t>
        </is>
      </c>
    </row>
    <row r="9" ht="19" customHeight="1">
      <c r="B9" s="44" t="inlineStr">
        <is>
          <t>5.  Importez le module : Fichier → Importer → vba_Comptabilite.bas.</t>
        </is>
      </c>
    </row>
    <row r="10" ht="19" customHeight="1">
      <c r="B10" s="44" t="inlineStr">
        <is>
          <t>6.  Fermez l'éditeur, puis lancez : Alt + F8 → Setup_Boutons → Exécuter.</t>
        </is>
      </c>
    </row>
    <row r="12" ht="28" customHeight="1">
      <c r="B12" s="43" t="inlineStr">
        <is>
          <t>IMPORTER UNE FACTURE PDF (AUTOMATIQUE)</t>
        </is>
      </c>
    </row>
    <row r="13" ht="19" customHeight="1">
      <c r="B13" s="44" t="inlineStr">
        <is>
          <t>1.  Allez sur la feuille PDF_Import.</t>
        </is>
      </c>
    </row>
    <row r="14" ht="19" customHeight="1">
      <c r="B14" s="44" t="inlineStr">
        <is>
          <t>2.  Cliquez sur « Importer PDF » et sélectionnez votre fichier.</t>
        </is>
      </c>
    </row>
    <row r="15" ht="19" customHeight="1">
      <c r="B15" s="44" t="inlineStr">
        <is>
          <t>3.  Cliquez sur « Extraire données » — Python analyse le PDF.</t>
        </is>
      </c>
    </row>
    <row r="16" ht="19" customHeight="1">
      <c r="B16" s="44" t="inlineStr">
        <is>
          <t>4.  Vérifiez les champs extraits (corrigez si besoin).</t>
        </is>
      </c>
    </row>
    <row r="17" ht="19" customHeight="1">
      <c r="B17" s="44" t="inlineStr">
        <is>
          <t>5.  Cliquez sur « Envoyer vers base » pour enregistrer.</t>
        </is>
      </c>
    </row>
    <row r="18" ht="19" customHeight="1">
      <c r="B18" s="44" t="inlineStr">
        <is>
          <t xml:space="preserve">     Le système détecte automatiquement Fournisseur ou Client.</t>
        </is>
      </c>
    </row>
    <row r="20" ht="28" customHeight="1">
      <c r="B20" s="43" t="inlineStr">
        <is>
          <t>SAISIE MANUELLE</t>
        </is>
      </c>
    </row>
    <row r="21" ht="19" customHeight="1">
      <c r="B21" s="44" t="inlineStr">
        <is>
          <t>1.  Ouvrez Fournisseurs_DB ou Clients_DB.</t>
        </is>
      </c>
    </row>
    <row r="22" ht="19" customHeight="1">
      <c r="B22" s="44" t="inlineStr">
        <is>
          <t>2.  Saisissez directement dans les colonnes.</t>
        </is>
      </c>
    </row>
    <row r="23" ht="19" customHeight="1">
      <c r="B23" s="44" t="inlineStr">
        <is>
          <t>3.  Utilisez les listes déroulantes pour Statut_Paiement et Taux_TVA.</t>
        </is>
      </c>
    </row>
    <row r="24" ht="19" customHeight="1">
      <c r="B24" s="44" t="inlineStr">
        <is>
          <t>4.  Laissez ID_Facture vide : la macro le génère automatiquement.</t>
        </is>
      </c>
    </row>
    <row r="26" ht="28" customHeight="1">
      <c r="B26" s="43" t="inlineStr">
        <is>
          <t>CALCUL TVA</t>
        </is>
      </c>
    </row>
    <row r="27" ht="19" customHeight="1">
      <c r="B27" s="44" t="inlineStr">
        <is>
          <t>1.  Feuille TVA_Mensuelle : modifiez la cellule B3 pour changer d'année.</t>
        </is>
      </c>
    </row>
    <row r="28" ht="19" customHeight="1">
      <c r="B28" s="44" t="inlineStr">
        <is>
          <t>2.  Les calculs se mettent à jour automatiquement.</t>
        </is>
      </c>
    </row>
    <row r="29" ht="19" customHeight="1">
      <c r="B29" s="44" t="inlineStr">
        <is>
          <t>3.  TVA à payer = TVA collectée (Clients) − TVA déductible (Fournisseurs).</t>
        </is>
      </c>
    </row>
    <row r="30" ht="19" customHeight="1">
      <c r="B30" s="44" t="inlineStr">
        <is>
          <t>4.  L'échéance légale est le 19 du mois suivant (régime mensuel).</t>
        </is>
      </c>
    </row>
    <row r="32" ht="28" customHeight="1">
      <c r="B32" s="43" t="inlineStr">
        <is>
          <t>TABLEAUX DE BORD (Pivot_Analytics)</t>
        </is>
      </c>
    </row>
    <row r="33" ht="19" customHeight="1">
      <c r="B33" s="44" t="inlineStr">
        <is>
          <t>•  Graphiques automatiquement mis à jour à chaque modification.</t>
        </is>
      </c>
    </row>
    <row r="34" ht="19" customHeight="1">
      <c r="B34" s="44" t="inlineStr">
        <is>
          <t>•  L'année affichée suit la cellule B3 de TVA_Mensuelle.</t>
        </is>
      </c>
    </row>
    <row r="35" ht="19" customHeight="1">
      <c r="B35" s="44" t="inlineStr">
        <is>
          <t>•  Utilisez le bouton « Rafraîchir » après un import groupé.</t>
        </is>
      </c>
    </row>
    <row r="37" ht="28" customHeight="1">
      <c r="B37" s="45" t="inlineStr">
        <is>
          <t>TAUX DE TVA FRANÇAIS</t>
        </is>
      </c>
    </row>
    <row r="38" ht="19" customHeight="1">
      <c r="B38" s="44" t="inlineStr">
        <is>
          <t>•  0 %    — Exonération (exportations, certains services de santé).</t>
        </is>
      </c>
    </row>
    <row r="39" ht="19" customHeight="1">
      <c r="B39" s="44" t="inlineStr">
        <is>
          <t>•  5,5 % — Taux réduit (produits alimentaires, livres, abonnements énergie).</t>
        </is>
      </c>
    </row>
    <row r="40" ht="19" customHeight="1">
      <c r="B40" s="44" t="inlineStr">
        <is>
          <t>•  10 %  — Taux intermédiaire (restauration, transport, travaux).</t>
        </is>
      </c>
    </row>
    <row r="41" ht="19" customHeight="1">
      <c r="B41" s="44" t="inlineStr">
        <is>
          <t>•  20 %  — Taux normal (majorité des biens et services).</t>
        </is>
      </c>
    </row>
    <row r="43" ht="28" customHeight="1">
      <c r="B43" s="46" t="inlineStr">
        <is>
          <t>LIMITES DE L'EXTRACTION PDF AUTOMATIQUE</t>
        </is>
      </c>
    </row>
    <row r="44" ht="19" customHeight="1">
      <c r="B44" s="44" t="inlineStr">
        <is>
          <t>•  PDFs scannés (images) : non supportés sans module OCR.</t>
        </is>
      </c>
    </row>
    <row r="45" ht="19" customHeight="1">
      <c r="B45" s="44" t="inlineStr">
        <is>
          <t>•  Formats très non-standard : extraction partielle possible.</t>
        </is>
      </c>
    </row>
    <row r="46" ht="19" customHeight="1">
      <c r="B46" s="44" t="inlineStr">
        <is>
          <t>•  Toujours vérifier les données avant envoi en base.</t>
        </is>
      </c>
    </row>
    <row r="48" ht="28" customHeight="1">
      <c r="B48" s="47" t="inlineStr">
        <is>
          <t>FICHIERS DU PROJET</t>
        </is>
      </c>
    </row>
    <row r="49" ht="19" customHeight="1">
      <c r="B49" s="44" t="inlineStr">
        <is>
          <t>•  create_workbook.py    — génère la structure Excel.</t>
        </is>
      </c>
    </row>
    <row r="50" ht="19" customHeight="1">
      <c r="B50" s="44" t="inlineStr">
        <is>
          <t>•  pdf_extractor.py      — moteur d'extraction PDF (Python).</t>
        </is>
      </c>
    </row>
    <row r="51" ht="19" customHeight="1">
      <c r="B51" s="44" t="inlineStr">
        <is>
          <t>•  vba_Comptabilite.bas  — macros VBA à importer dans Excel.</t>
        </is>
      </c>
    </row>
    <row r="52" ht="19" customHeight="1">
      <c r="B52" s="44" t="inlineStr">
        <is>
          <t>•  install.bat           — script d'installation Windows.</t>
        </is>
      </c>
    </row>
    <row r="53" ht="19" customHeight="1">
      <c r="B53" s="44" t="inlineStr">
        <is>
          <t>•  requirements.txt      — dépendances Python.</t>
        </is>
      </c>
    </row>
  </sheetData>
  <mergeCells count="9">
    <mergeCell ref="B48:C48"/>
    <mergeCell ref="A1:C1"/>
    <mergeCell ref="B3:C3"/>
    <mergeCell ref="B20:C20"/>
    <mergeCell ref="B37:C37"/>
    <mergeCell ref="B32:C32"/>
    <mergeCell ref="B26:C26"/>
    <mergeCell ref="B43:C43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2026-07-02T03:47:22Z</dcterms:created>
  <dcterms:modified xsi:type="dcterms:W3CDTF">2026-07-02T03:47:22Z</dcterms:modified>
</cp:coreProperties>
</file>