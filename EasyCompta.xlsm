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IA\PB_Projet - IMC-EasyCompta\"/>
    </mc:Choice>
  </mc:AlternateContent>
  <xr:revisionPtr revIDLastSave="0" documentId="8_{D983D5C7-8F98-4059-A6D3-E5CC9B93828F}" xr6:coauthVersionLast="47" xr6:coauthVersionMax="47" xr10:uidLastSave="{00000000-0000-0000-0000-000000000000}"/>
  <bookViews>
    <workbookView xWindow="4260" yWindow="645" windowWidth="21600" windowHeight="11295" xr2:uid="{00000000-000D-0000-FFFF-FFFF00000000}"/>
  </bookViews>
  <sheets>
    <sheet name="Fournisseurs_DB" sheetId="1" r:id="rId1"/>
    <sheet name="Clients_DB" sheetId="2" r:id="rId2"/>
    <sheet name="PDF_Import" sheetId="3" r:id="rId3"/>
    <sheet name="Pivot_Analytics" sheetId="4" r:id="rId4"/>
    <sheet name="TVA_Mensuelle" sheetId="5" r:id="rId5"/>
    <sheet name="Guide_Utilisateur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5" l="1"/>
  <c r="B26" i="5"/>
  <c r="D26" i="5" s="1"/>
  <c r="D25" i="5"/>
  <c r="C25" i="5"/>
  <c r="B25" i="5"/>
  <c r="C24" i="5"/>
  <c r="D24" i="5" s="1"/>
  <c r="B24" i="5"/>
  <c r="C23" i="5"/>
  <c r="B23" i="5"/>
  <c r="D23" i="5" s="1"/>
  <c r="H17" i="5"/>
  <c r="E17" i="5"/>
  <c r="G17" i="5" s="1"/>
  <c r="D17" i="5"/>
  <c r="C17" i="5"/>
  <c r="B17" i="5"/>
  <c r="H16" i="5"/>
  <c r="D16" i="5"/>
  <c r="E16" i="5" s="1"/>
  <c r="G16" i="5" s="1"/>
  <c r="C16" i="5"/>
  <c r="B16" i="5"/>
  <c r="H15" i="5"/>
  <c r="D15" i="5"/>
  <c r="C15" i="5"/>
  <c r="E15" i="5" s="1"/>
  <c r="G15" i="5" s="1"/>
  <c r="B15" i="5"/>
  <c r="H14" i="5"/>
  <c r="D14" i="5"/>
  <c r="C14" i="5"/>
  <c r="E14" i="5" s="1"/>
  <c r="G14" i="5" s="1"/>
  <c r="B14" i="5"/>
  <c r="H13" i="5"/>
  <c r="E13" i="5"/>
  <c r="G13" i="5" s="1"/>
  <c r="D13" i="5"/>
  <c r="C13" i="5"/>
  <c r="B13" i="5"/>
  <c r="H12" i="5"/>
  <c r="D12" i="5"/>
  <c r="E12" i="5" s="1"/>
  <c r="G12" i="5" s="1"/>
  <c r="C12" i="5"/>
  <c r="B12" i="5"/>
  <c r="H11" i="5"/>
  <c r="D11" i="5"/>
  <c r="C11" i="5"/>
  <c r="E11" i="5" s="1"/>
  <c r="G11" i="5" s="1"/>
  <c r="B11" i="5"/>
  <c r="H10" i="5"/>
  <c r="D10" i="5"/>
  <c r="C10" i="5"/>
  <c r="E10" i="5" s="1"/>
  <c r="G10" i="5" s="1"/>
  <c r="B10" i="5"/>
  <c r="H9" i="5"/>
  <c r="E9" i="5"/>
  <c r="G9" i="5" s="1"/>
  <c r="D9" i="5"/>
  <c r="C9" i="5"/>
  <c r="B9" i="5"/>
  <c r="H8" i="5"/>
  <c r="D8" i="5"/>
  <c r="E8" i="5" s="1"/>
  <c r="G8" i="5" s="1"/>
  <c r="C8" i="5"/>
  <c r="B8" i="5"/>
  <c r="H7" i="5"/>
  <c r="D7" i="5"/>
  <c r="C7" i="5"/>
  <c r="E7" i="5" s="1"/>
  <c r="G7" i="5" s="1"/>
  <c r="B7" i="5"/>
  <c r="H6" i="5"/>
  <c r="D6" i="5"/>
  <c r="D18" i="5" s="1"/>
  <c r="C6" i="5"/>
  <c r="E6" i="5" s="1"/>
  <c r="B6" i="5"/>
  <c r="E16" i="4"/>
  <c r="D16" i="4"/>
  <c r="F16" i="4" s="1"/>
  <c r="C16" i="4"/>
  <c r="B16" i="4"/>
  <c r="E15" i="4"/>
  <c r="F15" i="4" s="1"/>
  <c r="D15" i="4"/>
  <c r="C15" i="4"/>
  <c r="B15" i="4"/>
  <c r="F14" i="4"/>
  <c r="E14" i="4"/>
  <c r="D14" i="4"/>
  <c r="C14" i="4"/>
  <c r="B14" i="4"/>
  <c r="E13" i="4"/>
  <c r="D13" i="4"/>
  <c r="F13" i="4" s="1"/>
  <c r="C13" i="4"/>
  <c r="B13" i="4"/>
  <c r="E12" i="4"/>
  <c r="D12" i="4"/>
  <c r="F12" i="4" s="1"/>
  <c r="C12" i="4"/>
  <c r="B12" i="4"/>
  <c r="E11" i="4"/>
  <c r="F11" i="4" s="1"/>
  <c r="D11" i="4"/>
  <c r="C11" i="4"/>
  <c r="B11" i="4"/>
  <c r="F10" i="4"/>
  <c r="E10" i="4"/>
  <c r="D10" i="4"/>
  <c r="C10" i="4"/>
  <c r="B10" i="4"/>
  <c r="E9" i="4"/>
  <c r="D9" i="4"/>
  <c r="F9" i="4" s="1"/>
  <c r="C9" i="4"/>
  <c r="B9" i="4"/>
  <c r="E8" i="4"/>
  <c r="D8" i="4"/>
  <c r="F8" i="4" s="1"/>
  <c r="C8" i="4"/>
  <c r="B8" i="4"/>
  <c r="E7" i="4"/>
  <c r="F7" i="4" s="1"/>
  <c r="D7" i="4"/>
  <c r="C7" i="4"/>
  <c r="B7" i="4"/>
  <c r="F6" i="4"/>
  <c r="E6" i="4"/>
  <c r="D6" i="4"/>
  <c r="C6" i="4"/>
  <c r="B6" i="4"/>
  <c r="E5" i="4"/>
  <c r="E17" i="4" s="1"/>
  <c r="D5" i="4"/>
  <c r="F5" i="4" s="1"/>
  <c r="C5" i="4"/>
  <c r="C17" i="4" s="1"/>
  <c r="B5" i="4"/>
  <c r="B17" i="4" s="1"/>
  <c r="B3" i="4"/>
  <c r="E18" i="5" l="1"/>
  <c r="G6" i="5"/>
  <c r="F6" i="5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F17" i="4"/>
  <c r="C18" i="5"/>
  <c r="D17" i="4"/>
</calcChain>
</file>

<file path=xl/sharedStrings.xml><?xml version="1.0" encoding="utf-8"?>
<sst xmlns="http://schemas.openxmlformats.org/spreadsheetml/2006/main" count="142" uniqueCount="115">
  <si>
    <t>ID_Facture</t>
  </si>
  <si>
    <t>Fournisseur / Client</t>
  </si>
  <si>
    <t>Numéro_Facture</t>
  </si>
  <si>
    <t>Date_Emission</t>
  </si>
  <si>
    <t>Montant_HT</t>
  </si>
  <si>
    <t>Montant_TVA</t>
  </si>
  <si>
    <t>Montant_TTC</t>
  </si>
  <si>
    <t>Taux_TVA</t>
  </si>
  <si>
    <t>Catégorie</t>
  </si>
  <si>
    <t>Lien_PDF</t>
  </si>
  <si>
    <t>Statut_Paiement</t>
  </si>
  <si>
    <t>Date_Import</t>
  </si>
  <si>
    <t>Source_Extraction</t>
  </si>
  <si>
    <t>IMPORTATION DE FACTURE PDF</t>
  </si>
  <si>
    <t>1.  SÉLECTIONNER LE FICHIER PDF</t>
  </si>
  <si>
    <t>Fichier PDF :</t>
  </si>
  <si>
    <t>← Bouton créé par VBA</t>
  </si>
  <si>
    <t>2.  DONNÉES EXTRAITES AUTOMATIQUEMENT</t>
  </si>
  <si>
    <t>Numéro de facture :</t>
  </si>
  <si>
    <t>Date d'émission :</t>
  </si>
  <si>
    <t>Montant HT (€) :</t>
  </si>
  <si>
    <t>Montant TVA (€) :</t>
  </si>
  <si>
    <t>Montant TTC (€) :</t>
  </si>
  <si>
    <t>Taux TVA (%) :</t>
  </si>
  <si>
    <t>Type de facture :</t>
  </si>
  <si>
    <t>3.  ACTIONS</t>
  </si>
  <si>
    <t>→ Les boutons ci-dessous sont créés automatiquement par la macro VBA Setup_Boutons</t>
  </si>
  <si>
    <t>STATUT</t>
  </si>
  <si>
    <t>En attente d'importation...</t>
  </si>
  <si>
    <t>TABLEAU DE BORD ANALYTIQUE</t>
  </si>
  <si>
    <t>Année affichée :</t>
  </si>
  <si>
    <t>(modifiable dans TVA_Mensuelle, cellule B3)</t>
  </si>
  <si>
    <t>Mois</t>
  </si>
  <si>
    <t>CA HT
(Clients)</t>
  </si>
  <si>
    <t>Dépenses HT
(Fournisseurs)</t>
  </si>
  <si>
    <t>TVA Collectée</t>
  </si>
  <si>
    <t>TVA Déductible</t>
  </si>
  <si>
    <t>Solde TVA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</si>
  <si>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</si>
  <si>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</si>
  <si>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</si>
  <si>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</si>
  <si>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</si>
  <si>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</si>
  <si>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</si>
  <si>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</si>
  <si>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</si>
  <si>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</si>
  <si>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</si>
  <si>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</si>
  <si>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TOTAL ANNUEL</t>
  </si>
  <si>
    <t>CALCUL DE TVA MENSUELLE</t>
  </si>
  <si>
    <t>Année fiscale :</t>
  </si>
  <si>
    <t>← Saisissez l'année souhaitée</t>
  </si>
  <si>
    <t>Année</t>
  </si>
  <si>
    <t>TVA Collectée
(Clients)</t>
  </si>
  <si>
    <t>TVA Déductible
(Fournisseurs)</t>
  </si>
  <si>
    <t>TVA à Payer
(Collectée − Déductible)</t>
  </si>
  <si>
    <t>Solde
Cumulé</t>
  </si>
  <si>
    <t>Statut</t>
  </si>
  <si>
    <t>Échéance
Déclaration</t>
  </si>
  <si>
    <t>SYNTHÈSE PAR TAUX DE TVA</t>
  </si>
  <si>
    <t>Taux TVA</t>
  </si>
  <si>
    <t>TVA Collectée (Clients)</t>
  </si>
  <si>
    <t>TVA Déductible (Fournisseurs)</t>
  </si>
  <si>
    <t>Solde Net</t>
  </si>
  <si>
    <t>0 %</t>
  </si>
  <si>
    <t>5,5 %</t>
  </si>
  <si>
    <t>10 %</t>
  </si>
  <si>
    <t>20 %</t>
  </si>
  <si>
    <t>GUIDE UTILISATEUR — SYSTÈME DE GESTION COMPTABLE SEB</t>
  </si>
  <si>
    <t>INSTALLATION INITIALE</t>
  </si>
  <si>
    <t>1.  Exécutez install.bat en tant qu'administrateur.</t>
  </si>
  <si>
    <t xml:space="preserve">     Ce script installe Python, les bibliothèques et crée le fichier Excel.</t>
  </si>
  <si>
    <t>2.  Ouvrez EasyCompta.xlsx dans Excel 365.</t>
  </si>
  <si>
    <t>3.  Enregistrez-le en .xlsm : Fichier → Enregistrer sous → Classeur Excel prenant en charge les macros (*.xlsm).</t>
  </si>
  <si>
    <t>4.  Ouvrez l'éditeur VBA : Alt + F11.</t>
  </si>
  <si>
    <t>5.  Importez le module : Fichier → Importer → vba_Comptabilite.bas.</t>
  </si>
  <si>
    <t>6.  Fermez l'éditeur, puis lancez : Alt + F8 → Setup_Boutons → Exécuter.</t>
  </si>
  <si>
    <t>IMPORTER UNE FACTURE PDF (AUTOMATIQUE)</t>
  </si>
  <si>
    <t>1.  Allez sur la feuille PDF_Import.</t>
  </si>
  <si>
    <t>2.  Cliquez sur « Importer PDF » et sélectionnez votre fichier.</t>
  </si>
  <si>
    <t>3.  Cliquez sur « Extraire données » — Python analyse le PDF.</t>
  </si>
  <si>
    <t>4.  Vérifiez les champs extraits (corrigez si besoin).</t>
  </si>
  <si>
    <t>5.  Cliquez sur « Envoyer vers base » pour enregistrer.</t>
  </si>
  <si>
    <t xml:space="preserve">     Le système détecte automatiquement Fournisseur ou Client.</t>
  </si>
  <si>
    <t>SAISIE MANUELLE</t>
  </si>
  <si>
    <t>1.  Ouvrez Fournisseurs_DB ou Clients_DB.</t>
  </si>
  <si>
    <t>2.  Saisissez directement dans les colonnes.</t>
  </si>
  <si>
    <t>3.  Utilisez les listes déroulantes pour Statut_Paiement et Taux_TVA.</t>
  </si>
  <si>
    <t>4.  Laissez ID_Facture vide : la macro le génère automatiquement.</t>
  </si>
  <si>
    <t>CALCUL TVA</t>
  </si>
  <si>
    <t>1.  Feuille TVA_Mensuelle : modifiez la cellule B3 pour changer d'année.</t>
  </si>
  <si>
    <t>2.  Les calculs se mettent à jour automatiquement.</t>
  </si>
  <si>
    <t>3.  TVA à payer = TVA collectée (Clients) − TVA déductible (Fournisseurs).</t>
  </si>
  <si>
    <t>4.  L'échéance légale est le 19 du mois suivant (régime mensuel).</t>
  </si>
  <si>
    <t>TABLEAUX DE BORD (Pivot_Analytics)</t>
  </si>
  <si>
    <t>•  Graphiques automatiquement mis à jour à chaque modification.</t>
  </si>
  <si>
    <t>•  L'année affichée suit la cellule B3 de TVA_Mensuelle.</t>
  </si>
  <si>
    <t>•  Utilisez le bouton « Rafraîchir » après un import groupé.</t>
  </si>
  <si>
    <t>TAUX DE TVA FRANÇAIS</t>
  </si>
  <si>
    <t>•  0 %    — Exonération (exportations, certains services de santé).</t>
  </si>
  <si>
    <t>•  5,5 % — Taux réduit (produits alimentaires, livres, abonnements énergie).</t>
  </si>
  <si>
    <t>•  10 %  — Taux intermédiaire (restauration, transport, travaux).</t>
  </si>
  <si>
    <t>•  20 %  — Taux normal (majorité des biens et services).</t>
  </si>
  <si>
    <t>LIMITES DE L'EXTRACTION PDF AUTOMATIQUE</t>
  </si>
  <si>
    <t>•  PDFs scannés (images) : non supportés sans module OCR.</t>
  </si>
  <si>
    <t>•  Formats très non-standard : extraction partielle possible.</t>
  </si>
  <si>
    <t>•  Toujours vérifier les données avant envoi en base.</t>
  </si>
  <si>
    <t>FICHIERS DU PROJET</t>
  </si>
  <si>
    <t>•  create_workbook.py    — génère la structure Excel.</t>
  </si>
  <si>
    <t>•  pdf_extractor.py      — moteur d'extraction PDF (Python).</t>
  </si>
  <si>
    <t>•  vba_Comptabilite.bas  — macros VBA à importer dans Excel.</t>
  </si>
  <si>
    <t>•  install.bat           — script d'installation Windows.</t>
  </si>
  <si>
    <t>•  requirements.txt      — dépendances Python.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</si>
</sst>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\€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0"/>
      <color rgb="FFFFFFFF"/>
      <name val="Calibri"/>
    </font>
    <font>
      <b/>
      <sz val="16"/>
      <color rgb="FFFFFFFF"/>
      <name val="Calibri"/>
    </font>
    <font>
      <b/>
      <sz val="12"/>
      <color rgb="FFFFFFFF"/>
      <name val="Calibri"/>
    </font>
    <font>
      <b/>
      <sz val="10"/>
      <color rgb="FF000000"/>
      <name val="Calibri"/>
    </font>
    <font>
      <sz val="10"/>
      <color rgb="FF0070C0"/>
      <name val="Calibri"/>
    </font>
    <font>
      <i/>
      <sz val="9"/>
      <color rgb="FFAAAAAA"/>
      <name val="Calibri"/>
    </font>
    <font>
      <sz val="10"/>
      <color rgb="FF000000"/>
      <name val="Calibri"/>
    </font>
    <font>
      <i/>
      <sz val="9"/>
      <color rgb="FF888888"/>
      <name val="Calibri"/>
    </font>
    <font>
      <b/>
      <sz val="11"/>
      <color rgb="FFFFFFFF"/>
      <name val="Calibri"/>
    </font>
    <font>
      <i/>
      <sz val="10"/>
      <color rgb="FF666666"/>
      <name val="Calibri"/>
    </font>
    <font>
      <b/>
      <sz val="11"/>
      <color rgb="FF000000"/>
      <name val="Calibri"/>
    </font>
    <font>
      <b/>
      <sz val="14"/>
      <color rgb="FF1F4E79"/>
      <name val="Calibri"/>
    </font>
    <font>
      <b/>
      <sz val="12"/>
      <color rgb="FF000000"/>
      <name val="Calibri"/>
    </font>
    <font>
      <b/>
      <sz val="16"/>
      <color rgb="FF1F4E79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2E75B6"/>
        <bgColor rgb="FF2E75B6"/>
      </patternFill>
    </fill>
    <fill>
      <patternFill patternType="solid">
        <fgColor rgb="FFF2F2F2"/>
        <bgColor rgb="FFF2F2F2"/>
      </patternFill>
    </fill>
    <fill>
      <patternFill patternType="solid">
        <fgColor rgb="FF366092"/>
        <bgColor rgb="FF366092"/>
      </patternFill>
    </fill>
    <fill>
      <patternFill patternType="solid">
        <fgColor rgb="FFEBF3FB"/>
        <bgColor rgb="FFEBF3FB"/>
      </patternFill>
    </fill>
    <fill>
      <patternFill patternType="solid">
        <fgColor rgb="FF7030A0"/>
        <bgColor rgb="FF7030A0"/>
      </patternFill>
    </fill>
    <fill>
      <patternFill patternType="solid">
        <fgColor rgb="FFC55A11"/>
        <bgColor rgb="FFC55A11"/>
      </patternFill>
    </fill>
    <fill>
      <patternFill patternType="solid">
        <fgColor rgb="FFC00000"/>
        <bgColor rgb="FFC00000"/>
      </patternFill>
    </fill>
  </fills>
  <borders count="8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double">
        <color rgb="FF1F4E79"/>
      </left>
      <right style="double">
        <color rgb="FF1F4E79"/>
      </right>
      <top style="double">
        <color rgb="FF1F4E79"/>
      </top>
      <bottom style="double">
        <color rgb="FF1F4E7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4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2" fillId="0" borderId="6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left" vertical="center" indent="1"/>
    </xf>
    <xf numFmtId="164" fontId="0" fillId="0" borderId="7" xfId="0" applyNumberFormat="1" applyBorder="1" applyAlignment="1">
      <alignment horizontal="right" vertical="center"/>
    </xf>
    <xf numFmtId="0" fontId="4" fillId="6" borderId="7" xfId="0" applyFont="1" applyFill="1" applyBorder="1" applyAlignment="1">
      <alignment horizontal="left" vertical="center" indent="1"/>
    </xf>
    <xf numFmtId="164" fontId="0" fillId="6" borderId="7" xfId="0" applyNumberForma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" fontId="0" fillId="6" borderId="7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6" borderId="7" xfId="0" applyNumberForma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4" fontId="7" fillId="4" borderId="4" xfId="0" applyNumberFormat="1" applyFont="1" applyFill="1" applyBorder="1" applyAlignment="1">
      <alignment horizontal="left" vertical="center" indent="1"/>
    </xf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3" fillId="3" borderId="1" xfId="0" applyFont="1" applyFill="1" applyBorder="1" applyAlignment="1">
      <alignment horizontal="left" vertical="center" wrapText="1" indent="1"/>
    </xf>
    <xf numFmtId="0" fontId="8" fillId="0" borderId="0" xfId="0" applyFont="1"/>
    <xf numFmtId="0" fontId="7" fillId="4" borderId="4" xfId="0" applyFont="1" applyFill="1" applyBorder="1" applyAlignment="1">
      <alignment horizontal="left" vertical="center" indent="1"/>
    </xf>
    <xf numFmtId="0" fontId="9" fillId="3" borderId="1" xfId="0" applyFont="1" applyFill="1" applyBorder="1" applyAlignment="1">
      <alignment horizontal="left" vertical="center" wrapText="1" indent="1"/>
    </xf>
    <xf numFmtId="0" fontId="5" fillId="4" borderId="4" xfId="0" applyFont="1" applyFill="1" applyBorder="1" applyAlignment="1">
      <alignment horizontal="left" vertical="center" indent="1"/>
    </xf>
    <xf numFmtId="14" fontId="7" fillId="4" borderId="4" xfId="0" applyNumberFormat="1" applyFont="1" applyFill="1" applyBorder="1" applyAlignment="1">
      <alignment horizontal="left" vertical="center" indent="1"/>
    </xf>
    <xf numFmtId="165" fontId="7" fillId="4" borderId="4" xfId="0" applyNumberFormat="1" applyFont="1" applyFill="1" applyBorder="1" applyAlignment="1">
      <alignment horizontal="left" vertical="center" indent="1"/>
    </xf>
    <xf numFmtId="0" fontId="10" fillId="4" borderId="5" xfId="0" applyFont="1" applyFill="1" applyBorder="1" applyAlignment="1">
      <alignment horizontal="left" vertical="top" wrapText="1" indent="1"/>
    </xf>
    <xf numFmtId="0" fontId="3" fillId="7" borderId="0" xfId="0" applyFont="1" applyFill="1" applyAlignment="1">
      <alignment horizontal="left" vertical="center" indent="1"/>
    </xf>
    <xf numFmtId="0" fontId="2" fillId="7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9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t>CA vs Dépenses mensuels HT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Pivot_Analytics!$B$4</c:f>
              <c:strCache>
                <c:ptCount val="1"/>
                <c:pt idx="0">
                  <c:v>CA HT
(Clients)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Pivot_Analytics!$B$5:$B$16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32-40F0-84C7-54017CC97304}"/>
            </c:ext>
          </c:extLst>
        </c:ser>
        <c:ser>
          <c:idx val="1"/>
          <c:order val="1"/>
          <c:tx>
            <c:strRef>
              <c:f>Pivot_Analytics!$C$4</c:f>
              <c:strCache>
                <c:ptCount val="1"/>
                <c:pt idx="0">
                  <c:v>Dépenses HT
(Fournisseurs)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Pivot_Analytics!$C$5:$C$16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32-40F0-84C7-54017CC97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1"/>
  <c:chart>
    <c:title>
      <c:tx>
        <c:rich>
          <a:bodyPr/>
          <a:lstStyle/>
          <a:p>
            <a:pPr>
              <a:defRPr/>
            </a:pPr>
            <a:r>
              <a:t>TVA collectée vs TVA déductible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Pivot_Analytics!$D$4</c:f>
              <c:strCache>
                <c:ptCount val="1"/>
                <c:pt idx="0">
                  <c:v>TVA Collectée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Pivot_Analytics!$D$5:$D$16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B4-4285-8D66-79036C440545}"/>
            </c:ext>
          </c:extLst>
        </c:ser>
        <c:ser>
          <c:idx val="1"/>
          <c:order val="1"/>
          <c:tx>
            <c:strRef>
              <c:f>Pivot_Analytics!$E$4</c:f>
              <c:strCache>
                <c:ptCount val="1"/>
                <c:pt idx="0">
                  <c:v>TVA Déductible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Pivot_Analytics!$E$5:$E$16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B4-4285-8D66-79036C440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2"/>
  <c:chart>
    <c:title>
      <c:tx>
        <c:rich>
          <a:bodyPr/>
          <a:lstStyle/>
          <a:p>
            <a:pPr>
              <a:defRPr/>
            </a:pPr>
            <a:r>
              <a:t>Évolution solde TVA — 2026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Pivot_Analytics!$F$4</c:f>
              <c:strCache>
                <c:ptCount val="1"/>
                <c:pt idx="0">
                  <c:v>Solde TVA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Pivot_Analytics!$F$5:$F$16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0AC-4B54-A00C-454D6D851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Solde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2</xdr:row>
      <xdr:rowOff>0</xdr:rowOff>
    </xdr:from>
    <xdr:ext cx="7920000" cy="46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21</xdr:row>
      <xdr:rowOff>0</xdr:rowOff>
    </xdr:from>
    <xdr:ext cx="7920000" cy="46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40</xdr:row>
      <xdr:rowOff>0</xdr:rowOff>
    </xdr:from>
    <xdr:ext cx="7920000" cy="468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ournisseurs_DB" displayName="Fournisseurs_DB" ref="A1:M2000">
  <autoFilter ref="A1:M2000" xr:uid="{00000000-0009-0000-0100-000001000000}"/>
  <tableColumns count="13">
    <tableColumn id="1" xr3:uid="{00000000-0010-0000-0000-000001000000}" name="ID_Facture"/>
    <tableColumn id="2" xr3:uid="{00000000-0010-0000-0000-000002000000}" name="Fournisseur / Client"/>
    <tableColumn id="3" xr3:uid="{00000000-0010-0000-0000-000003000000}" name="Numéro_Facture"/>
    <tableColumn id="4" xr3:uid="{00000000-0010-0000-0000-000004000000}" name="Date_Emission"/>
    <tableColumn id="5" xr3:uid="{00000000-0010-0000-0000-000005000000}" name="Montant_HT"/>
    <tableColumn id="6" xr3:uid="{00000000-0010-0000-0000-000006000000}" name="Montant_TVA"/>
    <tableColumn id="7" xr3:uid="{00000000-0010-0000-0000-000007000000}" name="Montant_TTC"/>
    <tableColumn id="8" xr3:uid="{00000000-0010-0000-0000-000008000000}" name="Taux_TVA"/>
    <tableColumn id="9" xr3:uid="{00000000-0010-0000-0000-000009000000}" name="Catégorie"/>
    <tableColumn id="10" xr3:uid="{00000000-0010-0000-0000-00000A000000}" name="Lien_PDF"/>
    <tableColumn id="11" xr3:uid="{00000000-0010-0000-0000-00000B000000}" name="Statut_Paiement"/>
    <tableColumn id="12" xr3:uid="{00000000-0010-0000-0000-00000C000000}" name="Date_Import"/>
    <tableColumn id="13" xr3:uid="{00000000-0010-0000-0000-00000D000000}" name="Source_Extracti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s_DB" displayName="Clients_DB" ref="A1:M2000">
  <autoFilter ref="A1:M2000" xr:uid="{00000000-0009-0000-0100-000002000000}"/>
  <tableColumns count="13">
    <tableColumn id="1" xr3:uid="{00000000-0010-0000-0100-000001000000}" name="ID_Facture"/>
    <tableColumn id="2" xr3:uid="{00000000-0010-0000-0100-000002000000}" name="Fournisseur / Client"/>
    <tableColumn id="3" xr3:uid="{00000000-0010-0000-0100-000003000000}" name="Numéro_Facture"/>
    <tableColumn id="4" xr3:uid="{00000000-0010-0000-0100-000004000000}" name="Date_Emission"/>
    <tableColumn id="5" xr3:uid="{00000000-0010-0000-0100-000005000000}" name="Montant_HT"/>
    <tableColumn id="6" xr3:uid="{00000000-0010-0000-0100-000006000000}" name="Montant_TVA"/>
    <tableColumn id="7" xr3:uid="{00000000-0010-0000-0100-000007000000}" name="Montant_TTC"/>
    <tableColumn id="8" xr3:uid="{00000000-0010-0000-0100-000008000000}" name="Taux_TVA"/>
    <tableColumn id="9" xr3:uid="{00000000-0010-0000-0100-000009000000}" name="Catégorie"/>
    <tableColumn id="10" xr3:uid="{00000000-0010-0000-0100-00000A000000}" name="Lien_PDF"/>
    <tableColumn id="11" xr3:uid="{00000000-0010-0000-0100-00000B000000}" name="Statut_Paiement"/>
    <tableColumn id="12" xr3:uid="{00000000-0010-0000-0100-00000C000000}" name="Date_Import"/>
    <tableColumn id="13" xr3:uid="{00000000-0010-0000-0100-00000D000000}" name="Source_Extrac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F4E79"/>
  </sheetPr>
  <dimension ref="A1:M2000"/>
  <sheetViews>
    <sheetView tabSelected="1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0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000-000001000000}">
      <formula1>"0,5.5,10,20"</formula1>
    </dataValidation>
    <dataValidation type="list" allowBlank="1" sqref="M2:M2000" xr:uid="{00000000-0002-0000-00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375623"/>
  </sheetPr>
  <dimension ref="A1:M2000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1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100-000001000000}">
      <formula1>"0,5.5,10,20"</formula1>
    </dataValidation>
    <dataValidation type="list" allowBlank="1" sqref="M2:M2000" xr:uid="{00000000-0002-0000-01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C55A11"/>
  </sheetPr>
  <dimension ref="A1:D25"/>
  <sheetViews>
    <sheetView workbookViewId="0"/>
  </sheetViews>
  <sheetFormatPr baseColWidth="10" defaultColWidth="9.140625" defaultRowHeight="15" x14ac:dyDescent="0.25"/>
  <cols>
    <col min="1" max="1" width="24" customWidth="1"/>
    <col min="2" max="2" width="48" customWidth="1"/>
    <col min="3" max="4" width="22" customWidth="1"/>
  </cols>
  <sheetData>
    <row r="1" spans="1:4" ht="48" customHeight="1" x14ac:dyDescent="0.25">
      <c r="A1" s="33" t="s">
        <v>13</v>
      </c>
      <c r="B1" s="34"/>
      <c r="C1" s="34"/>
      <c r="D1" s="35"/>
    </row>
    <row r="3" spans="1:4" ht="30" customHeight="1" x14ac:dyDescent="0.25">
      <c r="A3" s="36" t="s">
        <v>14</v>
      </c>
      <c r="B3" s="34"/>
      <c r="C3" s="34"/>
      <c r="D3" s="35"/>
    </row>
    <row r="4" spans="1:4" ht="8.1" customHeight="1" x14ac:dyDescent="0.25"/>
    <row r="5" spans="1:4" ht="27.95" customHeight="1" x14ac:dyDescent="0.25">
      <c r="A5" s="5" t="s">
        <v>15</v>
      </c>
      <c r="B5" s="40"/>
      <c r="C5" s="32"/>
      <c r="D5" s="6" t="s">
        <v>16</v>
      </c>
    </row>
    <row r="6" spans="1:4" ht="8.1" customHeight="1" x14ac:dyDescent="0.25"/>
    <row r="7" spans="1:4" ht="30" customHeight="1" x14ac:dyDescent="0.25">
      <c r="A7" s="36" t="s">
        <v>17</v>
      </c>
      <c r="B7" s="34"/>
      <c r="C7" s="34"/>
      <c r="D7" s="35"/>
    </row>
    <row r="9" spans="1:4" ht="26.1" customHeight="1" x14ac:dyDescent="0.25">
      <c r="A9" s="5" t="s">
        <v>18</v>
      </c>
      <c r="B9" s="38"/>
      <c r="C9" s="32"/>
    </row>
    <row r="10" spans="1:4" ht="26.1" customHeight="1" x14ac:dyDescent="0.25">
      <c r="A10" s="5" t="s">
        <v>19</v>
      </c>
      <c r="B10" s="41"/>
      <c r="C10" s="32"/>
    </row>
    <row r="11" spans="1:4" ht="26.1" customHeight="1" x14ac:dyDescent="0.25">
      <c r="A11" s="5" t="s">
        <v>20</v>
      </c>
      <c r="B11" s="31"/>
      <c r="C11" s="32"/>
    </row>
    <row r="12" spans="1:4" ht="26.1" customHeight="1" x14ac:dyDescent="0.25">
      <c r="A12" s="5" t="s">
        <v>21</v>
      </c>
      <c r="B12" s="31"/>
      <c r="C12" s="32"/>
    </row>
    <row r="13" spans="1:4" ht="26.1" customHeight="1" x14ac:dyDescent="0.25">
      <c r="A13" s="5" t="s">
        <v>22</v>
      </c>
      <c r="B13" s="31"/>
      <c r="C13" s="32"/>
    </row>
    <row r="14" spans="1:4" ht="26.1" customHeight="1" x14ac:dyDescent="0.25">
      <c r="A14" s="5" t="s">
        <v>23</v>
      </c>
      <c r="B14" s="42"/>
      <c r="C14" s="32"/>
    </row>
    <row r="15" spans="1:4" ht="26.1" customHeight="1" x14ac:dyDescent="0.25">
      <c r="A15" s="5" t="s">
        <v>24</v>
      </c>
      <c r="B15" s="38"/>
      <c r="C15" s="32"/>
    </row>
    <row r="16" spans="1:4" ht="8.1" customHeight="1" x14ac:dyDescent="0.25"/>
    <row r="17" spans="1:4" ht="30" customHeight="1" x14ac:dyDescent="0.25">
      <c r="A17" s="36" t="s">
        <v>25</v>
      </c>
      <c r="B17" s="34"/>
      <c r="C17" s="34"/>
      <c r="D17" s="35"/>
    </row>
    <row r="18" spans="1:4" ht="21.95" customHeight="1" x14ac:dyDescent="0.25">
      <c r="A18" s="37" t="s">
        <v>26</v>
      </c>
      <c r="B18" s="32"/>
      <c r="C18" s="32"/>
      <c r="D18" s="32"/>
    </row>
    <row r="19" spans="1:4" ht="39.950000000000003" customHeight="1" x14ac:dyDescent="0.25"/>
    <row r="20" spans="1:4" ht="39.950000000000003" customHeight="1" x14ac:dyDescent="0.25"/>
    <row r="21" spans="1:4" ht="8.1" customHeight="1" x14ac:dyDescent="0.25"/>
    <row r="22" spans="1:4" ht="26.1" customHeight="1" x14ac:dyDescent="0.25">
      <c r="A22" s="39" t="s">
        <v>27</v>
      </c>
      <c r="B22" s="34"/>
      <c r="C22" s="34"/>
      <c r="D22" s="35"/>
    </row>
    <row r="23" spans="1:4" ht="21.95" customHeight="1" x14ac:dyDescent="0.25">
      <c r="A23" s="43" t="s">
        <v>28</v>
      </c>
      <c r="B23" s="32"/>
      <c r="C23" s="32"/>
      <c r="D23" s="32"/>
    </row>
    <row r="24" spans="1:4" ht="21.95" customHeight="1" x14ac:dyDescent="0.25">
      <c r="A24" s="32"/>
      <c r="B24" s="32"/>
      <c r="C24" s="32"/>
      <c r="D24" s="32"/>
    </row>
    <row r="25" spans="1:4" ht="21.95" customHeight="1" x14ac:dyDescent="0.25">
      <c r="A25" s="32"/>
      <c r="B25" s="32"/>
      <c r="C25" s="32"/>
      <c r="D25" s="32"/>
    </row>
  </sheetData>
  <mergeCells count="15">
    <mergeCell ref="A23:D25"/>
    <mergeCell ref="B12:C12"/>
    <mergeCell ref="A22:D22"/>
    <mergeCell ref="B5:C5"/>
    <mergeCell ref="A3:D3"/>
    <mergeCell ref="B10:C10"/>
    <mergeCell ref="A7:D7"/>
    <mergeCell ref="B14:C14"/>
    <mergeCell ref="B9:C9"/>
    <mergeCell ref="B13:C13"/>
    <mergeCell ref="A1:D1"/>
    <mergeCell ref="A17:D17"/>
    <mergeCell ref="A18:D18"/>
    <mergeCell ref="B15:C15"/>
    <mergeCell ref="B11:C1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375623"/>
  </sheetPr>
  <dimension ref="A1:F17"/>
  <sheetViews>
    <sheetView workbookViewId="0">
      <pane xSplit="1" ySplit="4" topLeftCell="B5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16" customWidth="1"/>
    <col min="2" max="2" width="22" customWidth="1"/>
    <col min="3" max="3" width="24" customWidth="1"/>
    <col min="4" max="5" width="20" customWidth="1"/>
    <col min="6" max="6" width="18" customWidth="1"/>
    <col min="7" max="21" width="11" customWidth="1"/>
  </cols>
  <sheetData>
    <row r="1" spans="1:6" ht="48" customHeight="1" x14ac:dyDescent="0.25">
      <c r="A1" s="33" t="s">
        <v>29</v>
      </c>
      <c r="B1" s="34"/>
      <c r="C1" s="34"/>
      <c r="D1" s="34"/>
      <c r="E1" s="34"/>
      <c r="F1" s="35"/>
    </row>
    <row r="3" spans="1:6" ht="30" customHeight="1" x14ac:dyDescent="0.25">
      <c r="A3" s="7" t="s">
        <v>30</v>
      </c>
      <c r="B3" s="8">
        <f>TVA_Mensuelle!B3</f>
        <v>2026</v>
      </c>
      <c r="C3" s="37" t="s">
        <v>31</v>
      </c>
      <c r="D3" s="32"/>
      <c r="E3" s="32"/>
      <c r="F3" s="32"/>
    </row>
    <row r="4" spans="1:6" ht="38.1" customHeight="1" x14ac:dyDescent="0.25">
      <c r="A4" s="9" t="s">
        <v>32</v>
      </c>
      <c r="B4" s="9" t="s">
        <v>33</v>
      </c>
      <c r="C4" s="9" t="s">
        <v>34</v>
      </c>
      <c r="D4" s="9" t="s">
        <v>35</v>
      </c>
      <c r="E4" s="9" t="s">
        <v>36</v>
      </c>
      <c r="F4" s="9" t="s">
        <v>37</v>
      </c>
    </row>
    <row r="5" spans="1:6" ht="21.95" customHeight="1" x14ac:dyDescent="0.25">
      <c r="A5" s="10" t="s">
        <v>38</v>
      </c>
      <c r="B5" s="11">
        <f>IFERROR(SUMPRODUCT((MONTH(Clients_DB[Date_Emission])=1)*(YEAR(Clients_DB[Date_Emission])=TVA_Mensuelle!$B$3)*Clients_DB[Montant_HT]),0)</f>
        <v>0</v>
      </c>
      <c r="C5" s="11">
        <f>IFERROR(SUMPRODUCT((MONTH(Fournisseurs_DB[Date_Emission])=1)*(YEAR(Fournisseurs_DB[Date_Emission])=TVA_Mensuelle!$B$3)*Fournisseurs_DB[Montant_HT]),0)</f>
        <v>0</v>
      </c>
      <c r="D5" s="11">
        <f>IFERROR(SUMPRODUCT((MONTH(Clients_DB[Date_Emission])=1)*(YEAR(Clients_DB[Date_Emission])=TVA_Mensuelle!$B$3)*Clients_DB[Montant_TVA]),0)</f>
        <v>0</v>
      </c>
      <c r="E5" s="11">
        <f>IFERROR(SUMPRODUCT((MONTH(Fournisseurs_DB[Date_Emission])=1)*(YEAR(Fournisseurs_DB[Date_Emission])=TVA_Mensuelle!$B$3)*Fournisseurs_DB[Montant_TVA]),0)</f>
        <v>0</v>
      </c>
      <c r="F5" s="11">
        <f t="shared" ref="F5:F16" si="0">D5-E5</f>
        <v>0</v>
      </c>
    </row>
    <row r="6" spans="1:6" ht="21.95" customHeight="1" x14ac:dyDescent="0.25">
      <c r="A6" s="12" t="s">
        <v>39</v>
      </c>
      <c r="B6" s="13">
        <f>IFERROR(SUMPRODUCT((MONTH(Clients_DB[Date_Emission])=2)*(YEAR(Clients_DB[Date_Emission])=TVA_Mensuelle!$B$3)*Clients_DB[Montant_HT]),0)</f>
        <v>0</v>
      </c>
      <c r="C6" s="13">
        <f>IFERROR(SUMPRODUCT((MONTH(Fournisseurs_DB[Date_Emission])=2)*(YEAR(Fournisseurs_DB[Date_Emission])=TVA_Mensuelle!$B$3)*Fournisseurs_DB[Montant_HT]),0)</f>
        <v>0</v>
      </c>
      <c r="D6" s="13">
        <f>IFERROR(SUMPRODUCT((MONTH(Clients_DB[Date_Emission])=2)*(YEAR(Clients_DB[Date_Emission])=TVA_Mensuelle!$B$3)*Clients_DB[Montant_TVA]),0)</f>
        <v>0</v>
      </c>
      <c r="E6" s="13">
        <f>IFERROR(SUMPRODUCT((MONTH(Fournisseurs_DB[Date_Emission])=2)*(YEAR(Fournisseurs_DB[Date_Emission])=TVA_Mensuelle!$B$3)*Fournisseurs_DB[Montant_TVA]),0)</f>
        <v>0</v>
      </c>
      <c r="F6" s="13">
        <f t="shared" si="0"/>
        <v>0</v>
      </c>
    </row>
    <row r="7" spans="1:6" ht="21.95" customHeight="1" x14ac:dyDescent="0.25">
      <c r="A7" s="10" t="s">
        <v>40</v>
      </c>
      <c r="B7" s="11">
        <f>IFERROR(SUMPRODUCT((MONTH(Clients_DB[Date_Emission])=3)*(YEAR(Clients_DB[Date_Emission])=TVA_Mensuelle!$B$3)*Clients_DB[Montant_HT]),0)</f>
        <v>0</v>
      </c>
      <c r="C7" s="11">
        <f>IFERROR(SUMPRODUCT((MONTH(Fournisseurs_DB[Date_Emission])=3)*(YEAR(Fournisseurs_DB[Date_Emission])=TVA_Mensuelle!$B$3)*Fournisseurs_DB[Montant_HT]),0)</f>
        <v>0</v>
      </c>
      <c r="D7" s="11">
        <f>IFERROR(SUMPRODUCT((MONTH(Clients_DB[Date_Emission])=3)*(YEAR(Clients_DB[Date_Emission])=TVA_Mensuelle!$B$3)*Clients_DB[Montant_TVA]),0)</f>
        <v>0</v>
      </c>
      <c r="E7" s="11">
        <f>IFERROR(SUMPRODUCT((MONTH(Fournisseurs_DB[Date_Emission])=3)*(YEAR(Fournisseurs_DB[Date_Emission])=TVA_Mensuelle!$B$3)*Fournisseurs_DB[Montant_TVA]),0)</f>
        <v>0</v>
      </c>
      <c r="F7" s="11">
        <f t="shared" si="0"/>
        <v>0</v>
      </c>
    </row>
    <row r="8" spans="1:6" ht="21.95" customHeight="1" x14ac:dyDescent="0.25">
      <c r="A8" s="12" t="s">
        <v>41</v>
      </c>
      <c r="B8" s="13">
        <f>IFERROR(SUMPRODUCT((MONTH(Clients_DB[Date_Emission])=4)*(YEAR(Clients_DB[Date_Emission])=TVA_Mensuelle!$B$3)*Clients_DB[Montant_HT]),0)</f>
        <v>0</v>
      </c>
      <c r="C8" s="13">
        <f>IFERROR(SUMPRODUCT((MONTH(Fournisseurs_DB[Date_Emission])=4)*(YEAR(Fournisseurs_DB[Date_Emission])=TVA_Mensuelle!$B$3)*Fournisseurs_DB[Montant_HT]),0)</f>
        <v>0</v>
      </c>
      <c r="D8" s="13">
        <f>IFERROR(SUMPRODUCT((MONTH(Clients_DB[Date_Emission])=4)*(YEAR(Clients_DB[Date_Emission])=TVA_Mensuelle!$B$3)*Clients_DB[Montant_TVA]),0)</f>
        <v>0</v>
      </c>
      <c r="E8" s="13">
        <f>IFERROR(SUMPRODUCT((MONTH(Fournisseurs_DB[Date_Emission])=4)*(YEAR(Fournisseurs_DB[Date_Emission])=TVA_Mensuelle!$B$3)*Fournisseurs_DB[Montant_TVA]),0)</f>
        <v>0</v>
      </c>
      <c r="F8" s="13">
        <f t="shared" si="0"/>
        <v>0</v>
      </c>
    </row>
    <row r="9" spans="1:6" ht="21.95" customHeight="1" x14ac:dyDescent="0.25">
      <c r="A9" s="10" t="s">
        <v>42</v>
      </c>
      <c r="B9" s="11">
        <f>IFERROR(SUMPRODUCT((MONTH(Clients_DB[Date_Emission])=5)*(YEAR(Clients_DB[Date_Emission])=TVA_Mensuelle!$B$3)*Clients_DB[Montant_HT]),0)</f>
        <v>0</v>
      </c>
      <c r="C9" s="11">
        <f>IFERROR(SUMPRODUCT((MONTH(Fournisseurs_DB[Date_Emission])=5)*(YEAR(Fournisseurs_DB[Date_Emission])=TVA_Mensuelle!$B$3)*Fournisseurs_DB[Montant_HT]),0)</f>
        <v>0</v>
      </c>
      <c r="D9" s="11">
        <f>IFERROR(SUMPRODUCT((MONTH(Clients_DB[Date_Emission])=5)*(YEAR(Clients_DB[Date_Emission])=TVA_Mensuelle!$B$3)*Clients_DB[Montant_TVA]),0)</f>
        <v>0</v>
      </c>
      <c r="E9" s="11">
        <f>IFERROR(SUMPRODUCT((MONTH(Fournisseurs_DB[Date_Emission])=5)*(YEAR(Fournisseurs_DB[Date_Emission])=TVA_Mensuelle!$B$3)*Fournisseurs_DB[Montant_TVA]),0)</f>
        <v>0</v>
      </c>
      <c r="F9" s="11">
        <f t="shared" si="0"/>
        <v>0</v>
      </c>
    </row>
    <row r="10" spans="1:6" ht="21.95" customHeight="1" x14ac:dyDescent="0.25">
      <c r="A10" s="12" t="s">
        <v>43</v>
      </c>
      <c r="B10" s="13">
        <f>IFERROR(SUMPRODUCT((MONTH(Clients_DB[Date_Emission])=6)*(YEAR(Clients_DB[Date_Emission])=TVA_Mensuelle!$B$3)*Clients_DB[Montant_HT]),0)</f>
        <v>0</v>
      </c>
      <c r="C10" s="13">
        <f>IFERROR(SUMPRODUCT((MONTH(Fournisseurs_DB[Date_Emission])=6)*(YEAR(Fournisseurs_DB[Date_Emission])=TVA_Mensuelle!$B$3)*Fournisseurs_DB[Montant_HT]),0)</f>
        <v>0</v>
      </c>
      <c r="D10" s="13">
        <f>IFERROR(SUMPRODUCT((MONTH(Clients_DB[Date_Emission])=6)*(YEAR(Clients_DB[Date_Emission])=TVA_Mensuelle!$B$3)*Clients_DB[Montant_TVA]),0)</f>
        <v>0</v>
      </c>
      <c r="E10" s="13">
        <f>IFERROR(SUMPRODUCT((MONTH(Fournisseurs_DB[Date_Emission])=6)*(YEAR(Fournisseurs_DB[Date_Emission])=TVA_Mensuelle!$B$3)*Fournisseurs_DB[Montant_TVA]),0)</f>
        <v>0</v>
      </c>
      <c r="F10" s="13">
        <f t="shared" si="0"/>
        <v>0</v>
      </c>
    </row>
    <row r="11" spans="1:6" ht="21.95" customHeight="1" x14ac:dyDescent="0.25">
      <c r="A11" s="10" t="s">
        <v>44</v>
      </c>
      <c r="B11" s="11">
        <f>IFERROR(SUMPRODUCT((MONTH(Clients_DB[Date_Emission])=7)*(YEAR(Clients_DB[Date_Emission])=TVA_Mensuelle!$B$3)*Clients_DB[Montant_HT]),0)</f>
        <v>0</v>
      </c>
      <c r="C11" s="11">
        <f>IFERROR(SUMPRODUCT((MONTH(Fournisseurs_DB[Date_Emission])=7)*(YEAR(Fournisseurs_DB[Date_Emission])=TVA_Mensuelle!$B$3)*Fournisseurs_DB[Montant_HT]),0)</f>
        <v>0</v>
      </c>
      <c r="D11" s="11">
        <f>IFERROR(SUMPRODUCT((MONTH(Clients_DB[Date_Emission])=7)*(YEAR(Clients_DB[Date_Emission])=TVA_Mensuelle!$B$3)*Clients_DB[Montant_TVA]),0)</f>
        <v>0</v>
      </c>
      <c r="E11" s="11">
        <f>IFERROR(SUMPRODUCT((MONTH(Fournisseurs_DB[Date_Emission])=7)*(YEAR(Fournisseurs_DB[Date_Emission])=TVA_Mensuelle!$B$3)*Fournisseurs_DB[Montant_TVA]),0)</f>
        <v>0</v>
      </c>
      <c r="F11" s="11">
        <f t="shared" si="0"/>
        <v>0</v>
      </c>
    </row>
    <row r="12" spans="1:6" ht="21.95" customHeight="1" x14ac:dyDescent="0.25">
      <c r="A12" s="12" t="s">
        <v>45</v>
      </c>
      <c r="B12" s="13">
        <f>IFERROR(SUMPRODUCT((MONTH(Clients_DB[Date_Emission])=8)*(YEAR(Clients_DB[Date_Emission])=TVA_Mensuelle!$B$3)*Clients_DB[Montant_HT]),0)</f>
        <v>0</v>
      </c>
      <c r="C12" s="13">
        <f>IFERROR(SUMPRODUCT((MONTH(Fournisseurs_DB[Date_Emission])=8)*(YEAR(Fournisseurs_DB[Date_Emission])=TVA_Mensuelle!$B$3)*Fournisseurs_DB[Montant_HT]),0)</f>
        <v>0</v>
      </c>
      <c r="D12" s="13">
        <f>IFERROR(SUMPRODUCT((MONTH(Clients_DB[Date_Emission])=8)*(YEAR(Clients_DB[Date_Emission])=TVA_Mensuelle!$B$3)*Clients_DB[Montant_TVA]),0)</f>
        <v>0</v>
      </c>
      <c r="E12" s="13">
        <f>IFERROR(SUMPRODUCT((MONTH(Fournisseurs_DB[Date_Emission])=8)*(YEAR(Fournisseurs_DB[Date_Emission])=TVA_Mensuelle!$B$3)*Fournisseurs_DB[Montant_TVA]),0)</f>
        <v>0</v>
      </c>
      <c r="F12" s="13">
        <f t="shared" si="0"/>
        <v>0</v>
      </c>
    </row>
    <row r="13" spans="1:6" ht="21.95" customHeight="1" x14ac:dyDescent="0.25">
      <c r="A13" s="10" t="s">
        <v>46</v>
      </c>
      <c r="B13" s="11">
        <f>IFERROR(SUMPRODUCT((MONTH(Clients_DB[Date_Emission])=9)*(YEAR(Clients_DB[Date_Emission])=TVA_Mensuelle!$B$3)*Clients_DB[Montant_HT]),0)</f>
        <v>0</v>
      </c>
      <c r="C13" s="11">
        <f>IFERROR(SUMPRODUCT((MONTH(Fournisseurs_DB[Date_Emission])=9)*(YEAR(Fournisseurs_DB[Date_Emission])=TVA_Mensuelle!$B$3)*Fournisseurs_DB[Montant_HT]),0)</f>
        <v>0</v>
      </c>
      <c r="D13" s="11">
        <f>IFERROR(SUMPRODUCT((MONTH(Clients_DB[Date_Emission])=9)*(YEAR(Clients_DB[Date_Emission])=TVA_Mensuelle!$B$3)*Clients_DB[Montant_TVA]),0)</f>
        <v>0</v>
      </c>
      <c r="E13" s="11">
        <f>IFERROR(SUMPRODUCT((MONTH(Fournisseurs_DB[Date_Emission])=9)*(YEAR(Fournisseurs_DB[Date_Emission])=TVA_Mensuelle!$B$3)*Fournisseurs_DB[Montant_TVA]),0)</f>
        <v>0</v>
      </c>
      <c r="F13" s="11">
        <f t="shared" si="0"/>
        <v>0</v>
      </c>
    </row>
    <row r="14" spans="1:6" ht="21.95" customHeight="1" x14ac:dyDescent="0.25">
      <c r="A14" s="12" t="s">
        <v>47</v>
      </c>
      <c r="B14" s="13">
        <f>IFERROR(SUMPRODUCT((MONTH(Clients_DB[Date_Emission])=10)*(YEAR(Clients_DB[Date_Emission])=TVA_Mensuelle!$B$3)*Clients_DB[Montant_HT]),0)</f>
        <v>0</v>
      </c>
      <c r="C14" s="13">
        <f>IFERROR(SUMPRODUCT((MONTH(Fournisseurs_DB[Date_Emission])=10)*(YEAR(Fournisseurs_DB[Date_Emission])=TVA_Mensuelle!$B$3)*Fournisseurs_DB[Montant_HT]),0)</f>
        <v>0</v>
      </c>
      <c r="D14" s="13">
        <f>IFERROR(SUMPRODUCT((MONTH(Clients_DB[Date_Emission])=10)*(YEAR(Clients_DB[Date_Emission])=TVA_Mensuelle!$B$3)*Clients_DB[Montant_TVA]),0)</f>
        <v>0</v>
      </c>
      <c r="E14" s="13">
        <f>IFERROR(SUMPRODUCT((MONTH(Fournisseurs_DB[Date_Emission])=10)*(YEAR(Fournisseurs_DB[Date_Emission])=TVA_Mensuelle!$B$3)*Fournisseurs_DB[Montant_TVA]),0)</f>
        <v>0</v>
      </c>
      <c r="F14" s="13">
        <f t="shared" si="0"/>
        <v>0</v>
      </c>
    </row>
    <row r="15" spans="1:6" ht="21.95" customHeight="1" x14ac:dyDescent="0.25">
      <c r="A15" s="10" t="s">
        <v>48</v>
      </c>
      <c r="B15" s="11">
        <f>IFERROR(SUMPRODUCT((MONTH(Clients_DB[Date_Emission])=11)*(YEAR(Clients_DB[Date_Emission])=TVA_Mensuelle!$B$3)*Clients_DB[Montant_HT]),0)</f>
        <v>0</v>
      </c>
      <c r="C15" s="11">
        <f>IFERROR(SUMPRODUCT((MONTH(Fournisseurs_DB[Date_Emission])=11)*(YEAR(Fournisseurs_DB[Date_Emission])=TVA_Mensuelle!$B$3)*Fournisseurs_DB[Montant_HT]),0)</f>
        <v>0</v>
      </c>
      <c r="D15" s="11">
        <f>IFERROR(SUMPRODUCT((MONTH(Clients_DB[Date_Emission])=11)*(YEAR(Clients_DB[Date_Emission])=TVA_Mensuelle!$B$3)*Clients_DB[Montant_TVA]),0)</f>
        <v>0</v>
      </c>
      <c r="E15" s="11">
        <f>IFERROR(SUMPRODUCT((MONTH(Fournisseurs_DB[Date_Emission])=11)*(YEAR(Fournisseurs_DB[Date_Emission])=TVA_Mensuelle!$B$3)*Fournisseurs_DB[Montant_TVA]),0)</f>
        <v>0</v>
      </c>
      <c r="F15" s="11">
        <f t="shared" si="0"/>
        <v>0</v>
      </c>
    </row>
    <row r="16" spans="1:6" ht="21.95" customHeight="1" x14ac:dyDescent="0.25">
      <c r="A16" s="12" t="s">
        <v>49</v>
      </c>
      <c r="B16" s="13">
        <f>IFERROR(SUMPRODUCT((MONTH(Clients_DB[Date_Emission])=12)*(YEAR(Clients_DB[Date_Emission])=TVA_Mensuelle!$B$3)*Clients_DB[Montant_HT]),0)</f>
        <v>0</v>
      </c>
      <c r="C16" s="13">
        <f>IFERROR(SUMPRODUCT((MONTH(Fournisseurs_DB[Date_Emission])=12)*(YEAR(Fournisseurs_DB[Date_Emission])=TVA_Mensuelle!$B$3)*Fournisseurs_DB[Montant_HT]),0)</f>
        <v>0</v>
      </c>
      <c r="D16" s="13">
        <f>IFERROR(SUMPRODUCT((MONTH(Clients_DB[Date_Emission])=12)*(YEAR(Clients_DB[Date_Emission])=TVA_Mensuelle!$B$3)*Clients_DB[Montant_TVA]),0)</f>
        <v>0</v>
      </c>
      <c r="E16" s="13">
        <f>IFERROR(SUMPRODUCT((MONTH(Fournisseurs_DB[Date_Emission])=12)*(YEAR(Fournisseurs_DB[Date_Emission])=TVA_Mensuelle!$B$3)*Fournisseurs_DB[Montant_TVA]),0)</f>
        <v>0</v>
      </c>
      <c r="F16" s="13">
        <f t="shared" si="0"/>
        <v>0</v>
      </c>
    </row>
    <row r="17" spans="1:6" ht="27.95" customHeight="1" x14ac:dyDescent="0.25">
      <c r="A17" s="14" t="s">
        <v>50</v>
      </c>
      <c r="B17" s="15">
        <f>SUM(B5:B16)</f>
        <v>0</v>
      </c>
      <c r="C17" s="15">
        <f>SUM(C5:C16)</f>
        <v>0</v>
      </c>
      <c r="D17" s="15">
        <f>SUM(D5:D16)</f>
        <v>0</v>
      </c>
      <c r="E17" s="15">
        <f>SUM(E5:E16)</f>
        <v>0</v>
      </c>
      <c r="F17" s="15">
        <f>SUM(F5:F16)</f>
        <v>0</v>
      </c>
    </row>
  </sheetData>
  <mergeCells count="2">
    <mergeCell ref="A1:F1"/>
    <mergeCell ref="C3:F3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C00000"/>
  </sheetPr>
  <dimension ref="A1:H26"/>
  <sheetViews>
    <sheetView workbookViewId="0">
      <pane ySplit="5" topLeftCell="A6" activePane="bottomLeft" state="frozen"/>
      <selection pane="bottomLeft"/>
    </sheetView>
  </sheetViews>
  <sheetFormatPr baseColWidth="10" defaultColWidth="9.140625" defaultRowHeight="15" x14ac:dyDescent="0.25"/>
  <cols>
    <col min="1" max="1" width="20" customWidth="1"/>
    <col min="2" max="2" width="12" customWidth="1"/>
    <col min="3" max="3" width="15" customWidth="1"/>
    <col min="4" max="5" width="22" customWidth="1"/>
    <col min="6" max="7" width="20" customWidth="1"/>
    <col min="8" max="8" width="25" customWidth="1"/>
  </cols>
  <sheetData>
    <row r="1" spans="1:8" ht="48" customHeight="1" x14ac:dyDescent="0.25">
      <c r="A1" s="33" t="s">
        <v>51</v>
      </c>
      <c r="B1" s="34"/>
      <c r="C1" s="34"/>
      <c r="D1" s="34"/>
      <c r="E1" s="34"/>
      <c r="F1" s="34"/>
      <c r="G1" s="34"/>
      <c r="H1" s="35"/>
    </row>
    <row r="3" spans="1:8" ht="32.1" customHeight="1" x14ac:dyDescent="0.25">
      <c r="A3" s="16" t="s">
        <v>52</v>
      </c>
      <c r="B3" s="17">
        <v>2026</v>
      </c>
      <c r="C3" s="37" t="s">
        <v>53</v>
      </c>
      <c r="D3" s="32"/>
      <c r="E3" s="32"/>
      <c r="F3" s="32"/>
      <c r="G3" s="32"/>
      <c r="H3" s="32"/>
    </row>
    <row r="4" spans="1:8" ht="8.1" customHeight="1" x14ac:dyDescent="0.25"/>
    <row r="5" spans="1:8" ht="42" customHeight="1" x14ac:dyDescent="0.25">
      <c r="A5" s="1" t="s">
        <v>32</v>
      </c>
      <c r="B5" s="1" t="s">
        <v>54</v>
      </c>
      <c r="C5" s="1" t="s">
        <v>55</v>
      </c>
      <c r="D5" s="1" t="s">
        <v>56</v>
      </c>
      <c r="E5" s="1" t="s">
        <v>57</v>
      </c>
      <c r="F5" s="1" t="s">
        <v>58</v>
      </c>
      <c r="G5" s="1" t="s">
        <v>59</v>
      </c>
      <c r="H5" s="1" t="s">
        <v>60</v>
      </c>
    </row>
    <row r="6" spans="1:8" ht="24" customHeight="1" x14ac:dyDescent="0.25">
      <c r="A6" s="10" t="s">
        <v>38</v>
      </c>
      <c r="B6" s="18">
        <f t="shared" ref="B6:B17" si="0">$B$3</f>
        <v>2026</v>
      </c>
      <c r="C6" s="19">
        <f>IFERROR(SUMPRODUCT((MONTH(Clients_DB[Date_Emission])=1)*(YEAR(Clients_DB[Date_Emission])=$B$3)*Clients_DB[Montant_TVA]),0)</f>
        <v>0</v>
      </c>
      <c r="D6" s="19">
        <f>IFERROR(SUMPRODUCT((MONTH(Fournisseurs_DB[Date_Emission])=1)*(YEAR(Fournisseurs_DB[Date_Emission])=$B$3)*Fournisseurs_DB[Montant_TVA]),0)</f>
        <v>0</v>
      </c>
      <c r="E6" s="19">
        <f t="shared" ref="E6:E17" si="1">C6-D6</f>
        <v>0</v>
      </c>
      <c r="F6" s="19">
        <f>E6</f>
        <v>0</v>
      </c>
      <c r="G6" s="20" t="str">
        <f t="shared" ref="G6:G17" si="2">IF(E6&gt;0,"À PAYER : "&amp;TEXT(E6,"#,##0.00 €"),IF(E6&lt;0,"CRÉDIT : "&amp;TEXT(ABS(E6),"#,##0.00 €"),"Équilibré"))</f>
        <v>Équilibré</v>
      </c>
      <c r="H6" s="21">
        <f>DATE($B$3,2,19)</f>
        <v>46072</v>
      </c>
    </row>
    <row r="7" spans="1:8" ht="24" customHeight="1" x14ac:dyDescent="0.25">
      <c r="A7" s="12" t="s">
        <v>39</v>
      </c>
      <c r="B7" s="22">
        <f t="shared" si="0"/>
        <v>2026</v>
      </c>
      <c r="C7" s="23">
        <f>IFERROR(SUMPRODUCT((MONTH(Clients_DB[Date_Emission])=2)*(YEAR(Clients_DB[Date_Emission])=$B$3)*Clients_DB[Montant_TVA]),0)</f>
        <v>0</v>
      </c>
      <c r="D7" s="23">
        <f>IFERROR(SUMPRODUCT((MONTH(Fournisseurs_DB[Date_Emission])=2)*(YEAR(Fournisseurs_DB[Date_Emission])=$B$3)*Fournisseurs_DB[Montant_TVA]),0)</f>
        <v>0</v>
      </c>
      <c r="E7" s="23">
        <f t="shared" si="1"/>
        <v>0</v>
      </c>
      <c r="F7" s="23">
        <f t="shared" ref="F7:F17" si="3">F6+E7</f>
        <v>0</v>
      </c>
      <c r="G7" s="24" t="str">
        <f t="shared" si="2"/>
        <v>Équilibré</v>
      </c>
      <c r="H7" s="25">
        <f>DATE($B$3,3,19)</f>
        <v>46100</v>
      </c>
    </row>
    <row r="8" spans="1:8" ht="24" customHeight="1" x14ac:dyDescent="0.25">
      <c r="A8" s="10" t="s">
        <v>40</v>
      </c>
      <c r="B8" s="18">
        <f t="shared" si="0"/>
        <v>2026</v>
      </c>
      <c r="C8" s="19">
        <f>IFERROR(SUMPRODUCT((MONTH(Clients_DB[Date_Emission])=3)*(YEAR(Clients_DB[Date_Emission])=$B$3)*Clients_DB[Montant_TVA]),0)</f>
        <v>0</v>
      </c>
      <c r="D8" s="19">
        <f>IFERROR(SUMPRODUCT((MONTH(Fournisseurs_DB[Date_Emission])=3)*(YEAR(Fournisseurs_DB[Date_Emission])=$B$3)*Fournisseurs_DB[Montant_TVA]),0)</f>
        <v>0</v>
      </c>
      <c r="E8" s="19">
        <f t="shared" si="1"/>
        <v>0</v>
      </c>
      <c r="F8" s="19">
        <f t="shared" si="3"/>
        <v>0</v>
      </c>
      <c r="G8" s="20" t="str">
        <f t="shared" si="2"/>
        <v>Équilibré</v>
      </c>
      <c r="H8" s="21">
        <f>DATE($B$3,4,19)</f>
        <v>46131</v>
      </c>
    </row>
    <row r="9" spans="1:8" ht="24" customHeight="1" x14ac:dyDescent="0.25">
      <c r="A9" s="12" t="s">
        <v>41</v>
      </c>
      <c r="B9" s="22">
        <f t="shared" si="0"/>
        <v>2026</v>
      </c>
      <c r="C9" s="23">
        <f>IFERROR(SUMPRODUCT((MONTH(Clients_DB[Date_Emission])=4)*(YEAR(Clients_DB[Date_Emission])=$B$3)*Clients_DB[Montant_TVA]),0)</f>
        <v>0</v>
      </c>
      <c r="D9" s="23">
        <f>IFERROR(SUMPRODUCT((MONTH(Fournisseurs_DB[Date_Emission])=4)*(YEAR(Fournisseurs_DB[Date_Emission])=$B$3)*Fournisseurs_DB[Montant_TVA]),0)</f>
        <v>0</v>
      </c>
      <c r="E9" s="23">
        <f t="shared" si="1"/>
        <v>0</v>
      </c>
      <c r="F9" s="23">
        <f t="shared" si="3"/>
        <v>0</v>
      </c>
      <c r="G9" s="24" t="str">
        <f t="shared" si="2"/>
        <v>Équilibré</v>
      </c>
      <c r="H9" s="25">
        <f>DATE($B$3,5,19)</f>
        <v>46161</v>
      </c>
    </row>
    <row r="10" spans="1:8" ht="24" customHeight="1" x14ac:dyDescent="0.25">
      <c r="A10" s="10" t="s">
        <v>42</v>
      </c>
      <c r="B10" s="18">
        <f t="shared" si="0"/>
        <v>2026</v>
      </c>
      <c r="C10" s="19">
        <f>IFERROR(SUMPRODUCT((MONTH(Clients_DB[Date_Emission])=5)*(YEAR(Clients_DB[Date_Emission])=$B$3)*Clients_DB[Montant_TVA]),0)</f>
        <v>0</v>
      </c>
      <c r="D10" s="19">
        <f>IFERROR(SUMPRODUCT((MONTH(Fournisseurs_DB[Date_Emission])=5)*(YEAR(Fournisseurs_DB[Date_Emission])=$B$3)*Fournisseurs_DB[Montant_TVA]),0)</f>
        <v>0</v>
      </c>
      <c r="E10" s="19">
        <f t="shared" si="1"/>
        <v>0</v>
      </c>
      <c r="F10" s="19">
        <f t="shared" si="3"/>
        <v>0</v>
      </c>
      <c r="G10" s="20" t="str">
        <f t="shared" si="2"/>
        <v>Équilibré</v>
      </c>
      <c r="H10" s="21">
        <f>DATE($B$3,6,19)</f>
        <v>46192</v>
      </c>
    </row>
    <row r="11" spans="1:8" ht="24" customHeight="1" x14ac:dyDescent="0.25">
      <c r="A11" s="12" t="s">
        <v>43</v>
      </c>
      <c r="B11" s="22">
        <f t="shared" si="0"/>
        <v>2026</v>
      </c>
      <c r="C11" s="23">
        <f>IFERROR(SUMPRODUCT((MONTH(Clients_DB[Date_Emission])=6)*(YEAR(Clients_DB[Date_Emission])=$B$3)*Clients_DB[Montant_TVA]),0)</f>
        <v>0</v>
      </c>
      <c r="D11" s="23">
        <f>IFERROR(SUMPRODUCT((MONTH(Fournisseurs_DB[Date_Emission])=6)*(YEAR(Fournisseurs_DB[Date_Emission])=$B$3)*Fournisseurs_DB[Montant_TVA]),0)</f>
        <v>0</v>
      </c>
      <c r="E11" s="23">
        <f t="shared" si="1"/>
        <v>0</v>
      </c>
      <c r="F11" s="23">
        <f t="shared" si="3"/>
        <v>0</v>
      </c>
      <c r="G11" s="24" t="str">
        <f t="shared" si="2"/>
        <v>Équilibré</v>
      </c>
      <c r="H11" s="25">
        <f>DATE($B$3,7,19)</f>
        <v>46222</v>
      </c>
    </row>
    <row r="12" spans="1:8" ht="24" customHeight="1" x14ac:dyDescent="0.25">
      <c r="A12" s="10" t="s">
        <v>44</v>
      </c>
      <c r="B12" s="18">
        <f t="shared" si="0"/>
        <v>2026</v>
      </c>
      <c r="C12" s="19">
        <f>IFERROR(SUMPRODUCT((MONTH(Clients_DB[Date_Emission])=7)*(YEAR(Clients_DB[Date_Emission])=$B$3)*Clients_DB[Montant_TVA]),0)</f>
        <v>0</v>
      </c>
      <c r="D12" s="19">
        <f>IFERROR(SUMPRODUCT((MONTH(Fournisseurs_DB[Date_Emission])=7)*(YEAR(Fournisseurs_DB[Date_Emission])=$B$3)*Fournisseurs_DB[Montant_TVA]),0)</f>
        <v>0</v>
      </c>
      <c r="E12" s="19">
        <f t="shared" si="1"/>
        <v>0</v>
      </c>
      <c r="F12" s="19">
        <f t="shared" si="3"/>
        <v>0</v>
      </c>
      <c r="G12" s="20" t="str">
        <f t="shared" si="2"/>
        <v>Équilibré</v>
      </c>
      <c r="H12" s="21">
        <f>DATE($B$3,8,19)</f>
        <v>46253</v>
      </c>
    </row>
    <row r="13" spans="1:8" ht="24" customHeight="1" x14ac:dyDescent="0.25">
      <c r="A13" s="12" t="s">
        <v>45</v>
      </c>
      <c r="B13" s="22">
        <f t="shared" si="0"/>
        <v>2026</v>
      </c>
      <c r="C13" s="23">
        <f>IFERROR(SUMPRODUCT((MONTH(Clients_DB[Date_Emission])=8)*(YEAR(Clients_DB[Date_Emission])=$B$3)*Clients_DB[Montant_TVA]),0)</f>
        <v>0</v>
      </c>
      <c r="D13" s="23">
        <f>IFERROR(SUMPRODUCT((MONTH(Fournisseurs_DB[Date_Emission])=8)*(YEAR(Fournisseurs_DB[Date_Emission])=$B$3)*Fournisseurs_DB[Montant_TVA]),0)</f>
        <v>0</v>
      </c>
      <c r="E13" s="23">
        <f t="shared" si="1"/>
        <v>0</v>
      </c>
      <c r="F13" s="23">
        <f t="shared" si="3"/>
        <v>0</v>
      </c>
      <c r="G13" s="24" t="str">
        <f t="shared" si="2"/>
        <v>Équilibré</v>
      </c>
      <c r="H13" s="25">
        <f>DATE($B$3,9,19)</f>
        <v>46284</v>
      </c>
    </row>
    <row r="14" spans="1:8" ht="24" customHeight="1" x14ac:dyDescent="0.25">
      <c r="A14" s="10" t="s">
        <v>46</v>
      </c>
      <c r="B14" s="18">
        <f t="shared" si="0"/>
        <v>2026</v>
      </c>
      <c r="C14" s="19">
        <f>IFERROR(SUMPRODUCT((MONTH(Clients_DB[Date_Emission])=9)*(YEAR(Clients_DB[Date_Emission])=$B$3)*Clients_DB[Montant_TVA]),0)</f>
        <v>0</v>
      </c>
      <c r="D14" s="19">
        <f>IFERROR(SUMPRODUCT((MONTH(Fournisseurs_DB[Date_Emission])=9)*(YEAR(Fournisseurs_DB[Date_Emission])=$B$3)*Fournisseurs_DB[Montant_TVA]),0)</f>
        <v>0</v>
      </c>
      <c r="E14" s="19">
        <f t="shared" si="1"/>
        <v>0</v>
      </c>
      <c r="F14" s="19">
        <f t="shared" si="3"/>
        <v>0</v>
      </c>
      <c r="G14" s="20" t="str">
        <f t="shared" si="2"/>
        <v>Équilibré</v>
      </c>
      <c r="H14" s="21">
        <f>DATE($B$3,10,19)</f>
        <v>46314</v>
      </c>
    </row>
    <row r="15" spans="1:8" ht="24" customHeight="1" x14ac:dyDescent="0.25">
      <c r="A15" s="12" t="s">
        <v>47</v>
      </c>
      <c r="B15" s="22">
        <f t="shared" si="0"/>
        <v>2026</v>
      </c>
      <c r="C15" s="23">
        <f>IFERROR(SUMPRODUCT((MONTH(Clients_DB[Date_Emission])=10)*(YEAR(Clients_DB[Date_Emission])=$B$3)*Clients_DB[Montant_TVA]),0)</f>
        <v>0</v>
      </c>
      <c r="D15" s="23">
        <f>IFERROR(SUMPRODUCT((MONTH(Fournisseurs_DB[Date_Emission])=10)*(YEAR(Fournisseurs_DB[Date_Emission])=$B$3)*Fournisseurs_DB[Montant_TVA]),0)</f>
        <v>0</v>
      </c>
      <c r="E15" s="23">
        <f t="shared" si="1"/>
        <v>0</v>
      </c>
      <c r="F15" s="23">
        <f t="shared" si="3"/>
        <v>0</v>
      </c>
      <c r="G15" s="24" t="str">
        <f t="shared" si="2"/>
        <v>Équilibré</v>
      </c>
      <c r="H15" s="25">
        <f>DATE($B$3,11,19)</f>
        <v>46345</v>
      </c>
    </row>
    <row r="16" spans="1:8" ht="24" customHeight="1" x14ac:dyDescent="0.25">
      <c r="A16" s="10" t="s">
        <v>48</v>
      </c>
      <c r="B16" s="18">
        <f t="shared" si="0"/>
        <v>2026</v>
      </c>
      <c r="C16" s="19">
        <f>IFERROR(SUMPRODUCT((MONTH(Clients_DB[Date_Emission])=11)*(YEAR(Clients_DB[Date_Emission])=$B$3)*Clients_DB[Montant_TVA]),0)</f>
        <v>0</v>
      </c>
      <c r="D16" s="19">
        <f>IFERROR(SUMPRODUCT((MONTH(Fournisseurs_DB[Date_Emission])=11)*(YEAR(Fournisseurs_DB[Date_Emission])=$B$3)*Fournisseurs_DB[Montant_TVA]),0)</f>
        <v>0</v>
      </c>
      <c r="E16" s="19">
        <f t="shared" si="1"/>
        <v>0</v>
      </c>
      <c r="F16" s="19">
        <f t="shared" si="3"/>
        <v>0</v>
      </c>
      <c r="G16" s="20" t="str">
        <f t="shared" si="2"/>
        <v>Équilibré</v>
      </c>
      <c r="H16" s="21">
        <f>DATE($B$3,12,19)</f>
        <v>46375</v>
      </c>
    </row>
    <row r="17" spans="1:8" ht="24" customHeight="1" x14ac:dyDescent="0.25">
      <c r="A17" s="12" t="s">
        <v>49</v>
      </c>
      <c r="B17" s="22">
        <f t="shared" si="0"/>
        <v>2026</v>
      </c>
      <c r="C17" s="23">
        <f>IFERROR(SUMPRODUCT((MONTH(Clients_DB[Date_Emission])=12)*(YEAR(Clients_DB[Date_Emission])=$B$3)*Clients_DB[Montant_TVA]),0)</f>
        <v>0</v>
      </c>
      <c r="D17" s="23">
        <f>IFERROR(SUMPRODUCT((MONTH(Fournisseurs_DB[Date_Emission])=12)*(YEAR(Fournisseurs_DB[Date_Emission])=$B$3)*Fournisseurs_DB[Montant_TVA]),0)</f>
        <v>0</v>
      </c>
      <c r="E17" s="23">
        <f t="shared" si="1"/>
        <v>0</v>
      </c>
      <c r="F17" s="23">
        <f t="shared" si="3"/>
        <v>0</v>
      </c>
      <c r="G17" s="24" t="str">
        <f t="shared" si="2"/>
        <v>Équilibré</v>
      </c>
      <c r="H17" s="25">
        <f>DATE($B$3+1,1,19)</f>
        <v>46406</v>
      </c>
    </row>
    <row r="18" spans="1:8" ht="30" customHeight="1" x14ac:dyDescent="0.25">
      <c r="A18" s="26" t="s">
        <v>50</v>
      </c>
      <c r="C18" s="27">
        <f>SUM(C6:C17)</f>
        <v>0</v>
      </c>
      <c r="D18" s="27">
        <f>SUM(D6:D17)</f>
        <v>0</v>
      </c>
      <c r="E18" s="27">
        <f>SUM(E6:E17)</f>
        <v>0</v>
      </c>
      <c r="F18" s="27">
        <f>F17</f>
        <v>0</v>
      </c>
    </row>
    <row r="20" spans="1:8" ht="8.1" customHeight="1" x14ac:dyDescent="0.25"/>
    <row r="21" spans="1:8" ht="30" customHeight="1" x14ac:dyDescent="0.25">
      <c r="A21" s="36" t="s">
        <v>61</v>
      </c>
      <c r="B21" s="34"/>
      <c r="C21" s="34"/>
      <c r="D21" s="34"/>
      <c r="E21" s="34"/>
      <c r="F21" s="34"/>
      <c r="G21" s="34"/>
      <c r="H21" s="35"/>
    </row>
    <row r="22" spans="1:8" ht="27.95" customHeight="1" x14ac:dyDescent="0.25">
      <c r="A22" s="9" t="s">
        <v>62</v>
      </c>
      <c r="B22" s="9" t="s">
        <v>63</v>
      </c>
      <c r="C22" s="9" t="s">
        <v>64</v>
      </c>
      <c r="D22" s="9" t="s">
        <v>65</v>
      </c>
    </row>
    <row r="23" spans="1:8" ht="24" customHeight="1" x14ac:dyDescent="0.25">
      <c r="A23" s="28" t="s">
        <v>66</v>
      </c>
      <c r="B23" s="19">
        <f>IFERROR(SUMPRODUCT((Clients_DB[Taux_TVA]=0)*(YEAR(Clients_DB[Date_Emission])=$B$3)*Clients_DB[Montant_TVA]),0)</f>
        <v>0</v>
      </c>
      <c r="C23" s="19">
        <f>IFERROR(SUMPRODUCT((Fournisseurs_DB[Taux_TVA]=0)*(YEAR(Fournisseurs_DB[Date_Emission])=$B$3)*Fournisseurs_DB[Montant_TVA]),0)</f>
        <v>0</v>
      </c>
      <c r="D23" s="19">
        <f>B23-C23</f>
        <v>0</v>
      </c>
    </row>
    <row r="24" spans="1:8" ht="24" customHeight="1" x14ac:dyDescent="0.25">
      <c r="A24" s="29" t="s">
        <v>67</v>
      </c>
      <c r="B24" s="23">
        <f>IFERROR(SUMPRODUCT((Clients_DB[Taux_TVA]=5.5)*(YEAR(Clients_DB[Date_Emission])=$B$3)*Clients_DB[Montant_TVA]),0)</f>
        <v>0</v>
      </c>
      <c r="C24" s="23">
        <f>IFERROR(SUMPRODUCT((Fournisseurs_DB[Taux_TVA]=5.5)*(YEAR(Fournisseurs_DB[Date_Emission])=$B$3)*Fournisseurs_DB[Montant_TVA]),0)</f>
        <v>0</v>
      </c>
      <c r="D24" s="23">
        <f>B24-C24</f>
        <v>0</v>
      </c>
    </row>
    <row r="25" spans="1:8" ht="24" customHeight="1" x14ac:dyDescent="0.25">
      <c r="A25" s="28" t="s">
        <v>68</v>
      </c>
      <c r="B25" s="19">
        <f>IFERROR(SUMPRODUCT((Clients_DB[Taux_TVA]=10)*(YEAR(Clients_DB[Date_Emission])=$B$3)*Clients_DB[Montant_TVA]),0)</f>
        <v>0</v>
      </c>
      <c r="C25" s="19">
        <f>IFERROR(SUMPRODUCT((Fournisseurs_DB[Taux_TVA]=10)*(YEAR(Fournisseurs_DB[Date_Emission])=$B$3)*Fournisseurs_DB[Montant_TVA]),0)</f>
        <v>0</v>
      </c>
      <c r="D25" s="19">
        <f>B25-C25</f>
        <v>0</v>
      </c>
    </row>
    <row r="26" spans="1:8" ht="24" customHeight="1" x14ac:dyDescent="0.25">
      <c r="A26" s="29" t="s">
        <v>69</v>
      </c>
      <c r="B26" s="23">
        <f>IFERROR(SUMPRODUCT((Clients_DB[Taux_TVA]=20)*(YEAR(Clients_DB[Date_Emission])=$B$3)*Clients_DB[Montant_TVA]),0)</f>
        <v>0</v>
      </c>
      <c r="C26" s="23">
        <f>IFERROR(SUMPRODUCT((Fournisseurs_DB[Taux_TVA]=20)*(YEAR(Fournisseurs_DB[Date_Emission])=$B$3)*Fournisseurs_DB[Montant_TVA]),0)</f>
        <v>0</v>
      </c>
      <c r="D26" s="23">
        <f>B26-C26</f>
        <v>0</v>
      </c>
    </row>
  </sheetData>
  <mergeCells count="3">
    <mergeCell ref="A21:H21"/>
    <mergeCell ref="C3:H3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7030A0"/>
  </sheetPr>
  <dimension ref="A1:C53"/>
  <sheetViews>
    <sheetView workbookViewId="0"/>
  </sheetViews>
  <sheetFormatPr baseColWidth="10" defaultColWidth="9.140625" defaultRowHeight="15" x14ac:dyDescent="0.25"/>
  <cols>
    <col min="1" max="1" width="4" customWidth="1"/>
    <col min="2" max="2" width="80" customWidth="1"/>
    <col min="3" max="3" width="30" customWidth="1"/>
  </cols>
  <sheetData>
    <row r="1" spans="1:3" ht="51.95" customHeight="1" x14ac:dyDescent="0.25">
      <c r="A1" s="45" t="s">
        <v>70</v>
      </c>
      <c r="B1" s="34"/>
      <c r="C1" s="35"/>
    </row>
    <row r="3" spans="1:3" ht="27.95" customHeight="1" x14ac:dyDescent="0.25">
      <c r="B3" s="46" t="s">
        <v>71</v>
      </c>
      <c r="C3" s="32"/>
    </row>
    <row r="4" spans="1:3" ht="18.95" customHeight="1" x14ac:dyDescent="0.25">
      <c r="B4" s="30" t="s">
        <v>72</v>
      </c>
    </row>
    <row r="5" spans="1:3" ht="18.95" customHeight="1" x14ac:dyDescent="0.25">
      <c r="B5" s="30" t="s">
        <v>73</v>
      </c>
    </row>
    <row r="6" spans="1:3" ht="18.95" customHeight="1" x14ac:dyDescent="0.25">
      <c r="B6" s="30" t="s">
        <v>74</v>
      </c>
    </row>
    <row r="7" spans="1:3" ht="18.95" customHeight="1" x14ac:dyDescent="0.25">
      <c r="B7" s="30" t="s">
        <v>75</v>
      </c>
    </row>
    <row r="8" spans="1:3" ht="18.95" customHeight="1" x14ac:dyDescent="0.25">
      <c r="B8" s="30" t="s">
        <v>76</v>
      </c>
    </row>
    <row r="9" spans="1:3" ht="18.95" customHeight="1" x14ac:dyDescent="0.25">
      <c r="B9" s="30" t="s">
        <v>77</v>
      </c>
    </row>
    <row r="10" spans="1:3" ht="18.95" customHeight="1" x14ac:dyDescent="0.25">
      <c r="B10" s="30" t="s">
        <v>78</v>
      </c>
    </row>
    <row r="12" spans="1:3" ht="27.95" customHeight="1" x14ac:dyDescent="0.25">
      <c r="B12" s="46" t="s">
        <v>79</v>
      </c>
      <c r="C12" s="32"/>
    </row>
    <row r="13" spans="1:3" ht="18.95" customHeight="1" x14ac:dyDescent="0.25">
      <c r="B13" s="30" t="s">
        <v>80</v>
      </c>
    </row>
    <row r="14" spans="1:3" ht="18.95" customHeight="1" x14ac:dyDescent="0.25">
      <c r="B14" s="30" t="s">
        <v>81</v>
      </c>
    </row>
    <row r="15" spans="1:3" ht="18.95" customHeight="1" x14ac:dyDescent="0.25">
      <c r="B15" s="30" t="s">
        <v>82</v>
      </c>
    </row>
    <row r="16" spans="1:3" ht="18.95" customHeight="1" x14ac:dyDescent="0.25">
      <c r="B16" s="30" t="s">
        <v>83</v>
      </c>
    </row>
    <row r="17" spans="2:3" ht="18.95" customHeight="1" x14ac:dyDescent="0.25">
      <c r="B17" s="30" t="s">
        <v>84</v>
      </c>
    </row>
    <row r="18" spans="2:3" ht="18.95" customHeight="1" x14ac:dyDescent="0.25">
      <c r="B18" s="30" t="s">
        <v>85</v>
      </c>
    </row>
    <row r="20" spans="2:3" ht="27.95" customHeight="1" x14ac:dyDescent="0.25">
      <c r="B20" s="46" t="s">
        <v>86</v>
      </c>
      <c r="C20" s="32"/>
    </row>
    <row r="21" spans="2:3" ht="18.95" customHeight="1" x14ac:dyDescent="0.25">
      <c r="B21" s="30" t="s">
        <v>87</v>
      </c>
    </row>
    <row r="22" spans="2:3" ht="18.95" customHeight="1" x14ac:dyDescent="0.25">
      <c r="B22" s="30" t="s">
        <v>88</v>
      </c>
    </row>
    <row r="23" spans="2:3" ht="18.95" customHeight="1" x14ac:dyDescent="0.25">
      <c r="B23" s="30" t="s">
        <v>89</v>
      </c>
    </row>
    <row r="24" spans="2:3" ht="18.95" customHeight="1" x14ac:dyDescent="0.25">
      <c r="B24" s="30" t="s">
        <v>90</v>
      </c>
    </row>
    <row r="26" spans="2:3" ht="27.95" customHeight="1" x14ac:dyDescent="0.25">
      <c r="B26" s="46" t="s">
        <v>91</v>
      </c>
      <c r="C26" s="32"/>
    </row>
    <row r="27" spans="2:3" ht="18.95" customHeight="1" x14ac:dyDescent="0.25">
      <c r="B27" s="30" t="s">
        <v>92</v>
      </c>
    </row>
    <row r="28" spans="2:3" ht="18.95" customHeight="1" x14ac:dyDescent="0.25">
      <c r="B28" s="30" t="s">
        <v>93</v>
      </c>
    </row>
    <row r="29" spans="2:3" ht="18.95" customHeight="1" x14ac:dyDescent="0.25">
      <c r="B29" s="30" t="s">
        <v>94</v>
      </c>
    </row>
    <row r="30" spans="2:3" ht="18.95" customHeight="1" x14ac:dyDescent="0.25">
      <c r="B30" s="30" t="s">
        <v>95</v>
      </c>
    </row>
    <row r="32" spans="2:3" ht="27.95" customHeight="1" x14ac:dyDescent="0.25">
      <c r="B32" s="46" t="s">
        <v>96</v>
      </c>
      <c r="C32" s="32"/>
    </row>
    <row r="33" spans="2:3" ht="18.95" customHeight="1" x14ac:dyDescent="0.25">
      <c r="B33" s="30" t="s">
        <v>97</v>
      </c>
    </row>
    <row r="34" spans="2:3" ht="18.95" customHeight="1" x14ac:dyDescent="0.25">
      <c r="B34" s="30" t="s">
        <v>98</v>
      </c>
    </row>
    <row r="35" spans="2:3" ht="18.95" customHeight="1" x14ac:dyDescent="0.25">
      <c r="B35" s="30" t="s">
        <v>99</v>
      </c>
    </row>
    <row r="37" spans="2:3" ht="27.95" customHeight="1" x14ac:dyDescent="0.25">
      <c r="B37" s="47" t="s">
        <v>100</v>
      </c>
      <c r="C37" s="32"/>
    </row>
    <row r="38" spans="2:3" ht="18.95" customHeight="1" x14ac:dyDescent="0.25">
      <c r="B38" s="30" t="s">
        <v>101</v>
      </c>
    </row>
    <row r="39" spans="2:3" ht="18.95" customHeight="1" x14ac:dyDescent="0.25">
      <c r="B39" s="30" t="s">
        <v>102</v>
      </c>
    </row>
    <row r="40" spans="2:3" ht="18.95" customHeight="1" x14ac:dyDescent="0.25">
      <c r="B40" s="30" t="s">
        <v>103</v>
      </c>
    </row>
    <row r="41" spans="2:3" ht="18.95" customHeight="1" x14ac:dyDescent="0.25">
      <c r="B41" s="30" t="s">
        <v>104</v>
      </c>
    </row>
    <row r="43" spans="2:3" ht="27.95" customHeight="1" x14ac:dyDescent="0.25">
      <c r="B43" s="48" t="s">
        <v>105</v>
      </c>
      <c r="C43" s="32"/>
    </row>
    <row r="44" spans="2:3" ht="18.95" customHeight="1" x14ac:dyDescent="0.25">
      <c r="B44" s="30" t="s">
        <v>106</v>
      </c>
    </row>
    <row r="45" spans="2:3" ht="18.95" customHeight="1" x14ac:dyDescent="0.25">
      <c r="B45" s="30" t="s">
        <v>107</v>
      </c>
    </row>
    <row r="46" spans="2:3" ht="18.95" customHeight="1" x14ac:dyDescent="0.25">
      <c r="B46" s="30" t="s">
        <v>108</v>
      </c>
    </row>
    <row r="48" spans="2:3" ht="27.95" customHeight="1" x14ac:dyDescent="0.25">
      <c r="B48" s="44" t="s">
        <v>109</v>
      </c>
      <c r="C48" s="32"/>
    </row>
    <row r="49" spans="2:2" ht="18.95" customHeight="1" x14ac:dyDescent="0.25">
      <c r="B49" s="30" t="s">
        <v>110</v>
      </c>
    </row>
    <row r="50" spans="2:2" ht="18.95" customHeight="1" x14ac:dyDescent="0.25">
      <c r="B50" s="30" t="s">
        <v>111</v>
      </c>
    </row>
    <row r="51" spans="2:2" ht="18.95" customHeight="1" x14ac:dyDescent="0.25">
      <c r="B51" s="30" t="s">
        <v>112</v>
      </c>
    </row>
    <row r="52" spans="2:2" ht="18.95" customHeight="1" x14ac:dyDescent="0.25">
      <c r="B52" s="30" t="s">
        <v>113</v>
      </c>
    </row>
    <row r="53" spans="2:2" ht="18.95" customHeight="1" x14ac:dyDescent="0.25">
      <c r="B53" s="30" t="s">
        <v>114</v>
      </c>
    </row>
  </sheetData>
  <mergeCells count="9">
    <mergeCell ref="B48:C48"/>
    <mergeCell ref="A1:C1"/>
    <mergeCell ref="B3:C3"/>
    <mergeCell ref="B20:C20"/>
    <mergeCell ref="B37:C37"/>
    <mergeCell ref="B32:C32"/>
    <mergeCell ref="B26:C26"/>
    <mergeCell ref="B43:C43"/>
    <mergeCell ref="B12:C1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Fournisseurs_DB</vt:lpstr>
      <vt:lpstr>Clients_DB</vt:lpstr>
      <vt:lpstr>PDF_Import</vt:lpstr>
      <vt:lpstr>Pivot_Analytics</vt:lpstr>
      <vt:lpstr>TVA_Mensuelle</vt:lpstr>
      <vt:lpstr>Guide_Utilisateur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Nicolas LAURENT</cp:lastModifiedBy>
  <dcterms:created xsi:type="dcterms:W3CDTF">2026-06-20T12:48:28Z</dcterms:created>
  <dcterms:modified xsi:type="dcterms:W3CDTF">2026-07-01T17:34:19Z</dcterms:modified>
</cp:coreProperties>
</file>